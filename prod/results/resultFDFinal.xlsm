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vshi\Desktop\Doctorado\pFD Python\results\"/>
    </mc:Choice>
  </mc:AlternateContent>
  <xr:revisionPtr revIDLastSave="0" documentId="13_ncr:1_{62963AA3-E092-444E-BBE8-174A559A025B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resultFD" sheetId="1" r:id="rId1"/>
    <sheet name="Summary" sheetId="4" r:id="rId2"/>
    <sheet name="Summary AVG" sheetId="7" r:id="rId3"/>
    <sheet name="Summary-0" sheetId="2" r:id="rId4"/>
    <sheet name="Summary-1" sheetId="3" r:id="rId5"/>
    <sheet name="Summary-2" sheetId="5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3" i="2" l="1"/>
  <c r="D31" i="3"/>
  <c r="G17" i="7"/>
  <c r="G16" i="7"/>
  <c r="G15" i="7"/>
  <c r="G14" i="7"/>
  <c r="G13" i="7"/>
  <c r="F17" i="7"/>
  <c r="F16" i="7"/>
  <c r="F15" i="7"/>
  <c r="F14" i="7"/>
  <c r="F13" i="7"/>
  <c r="E17" i="7"/>
  <c r="E16" i="7"/>
  <c r="E15" i="7"/>
  <c r="E14" i="7"/>
  <c r="E13" i="7"/>
  <c r="D17" i="7"/>
  <c r="D16" i="7"/>
  <c r="D15" i="7"/>
  <c r="D14" i="7"/>
  <c r="D13" i="7"/>
  <c r="C17" i="7"/>
  <c r="C16" i="7"/>
  <c r="C15" i="7"/>
  <c r="C14" i="7"/>
  <c r="C13" i="7"/>
  <c r="C4" i="7"/>
  <c r="C5" i="7"/>
  <c r="C6" i="7"/>
  <c r="C7" i="7"/>
  <c r="C8" i="7"/>
  <c r="D23" i="2"/>
  <c r="G8" i="7"/>
  <c r="G7" i="7"/>
  <c r="G6" i="7"/>
  <c r="G5" i="7"/>
  <c r="G4" i="7"/>
  <c r="F8" i="7"/>
  <c r="F7" i="7"/>
  <c r="F6" i="7"/>
  <c r="F5" i="7"/>
  <c r="F4" i="7"/>
  <c r="E8" i="7"/>
  <c r="E7" i="7"/>
  <c r="E6" i="7"/>
  <c r="E5" i="7"/>
  <c r="E4" i="7"/>
  <c r="D8" i="7"/>
  <c r="D7" i="7"/>
  <c r="D6" i="7"/>
  <c r="D5" i="7"/>
  <c r="D4" i="7"/>
  <c r="H18" i="5"/>
  <c r="H17" i="5"/>
  <c r="H16" i="5"/>
  <c r="H15" i="5"/>
  <c r="G18" i="5"/>
  <c r="G17" i="5"/>
  <c r="G16" i="5"/>
  <c r="G15" i="5"/>
  <c r="F18" i="5"/>
  <c r="F17" i="5"/>
  <c r="F16" i="5"/>
  <c r="F15" i="5"/>
  <c r="E18" i="5"/>
  <c r="E17" i="5"/>
  <c r="E16" i="5"/>
  <c r="E15" i="5"/>
  <c r="D18" i="5"/>
  <c r="D17" i="5"/>
  <c r="D16" i="5"/>
  <c r="D15" i="5"/>
  <c r="H19" i="5"/>
  <c r="G19" i="5"/>
  <c r="F19" i="5"/>
  <c r="E19" i="5"/>
  <c r="D19" i="5"/>
  <c r="H27" i="3"/>
  <c r="H26" i="3"/>
  <c r="H25" i="3"/>
  <c r="H24" i="3"/>
  <c r="H23" i="3"/>
  <c r="G27" i="3"/>
  <c r="G26" i="3"/>
  <c r="G25" i="3"/>
  <c r="G24" i="3"/>
  <c r="G23" i="3"/>
  <c r="F27" i="3"/>
  <c r="F26" i="3"/>
  <c r="F25" i="3"/>
  <c r="F24" i="3"/>
  <c r="F23" i="3"/>
  <c r="E27" i="3"/>
  <c r="E26" i="3"/>
  <c r="E25" i="3"/>
  <c r="E24" i="3"/>
  <c r="E23" i="3"/>
  <c r="D27" i="3"/>
  <c r="D26" i="3"/>
  <c r="D25" i="3"/>
  <c r="D24" i="3"/>
  <c r="D23" i="3"/>
  <c r="H27" i="2"/>
  <c r="H26" i="2"/>
  <c r="H25" i="2"/>
  <c r="H24" i="2"/>
  <c r="H23" i="2"/>
  <c r="G27" i="2"/>
  <c r="G26" i="2"/>
  <c r="G25" i="2"/>
  <c r="G24" i="2"/>
  <c r="G23" i="2"/>
  <c r="F27" i="2"/>
  <c r="F26" i="2"/>
  <c r="F25" i="2"/>
  <c r="F24" i="2"/>
  <c r="F23" i="2"/>
  <c r="E27" i="2"/>
  <c r="E26" i="2"/>
  <c r="E25" i="2"/>
  <c r="E24" i="2"/>
  <c r="E23" i="2"/>
  <c r="D27" i="2"/>
  <c r="D26" i="2"/>
  <c r="D25" i="2"/>
  <c r="D24" i="2"/>
</calcChain>
</file>

<file path=xl/sharedStrings.xml><?xml version="1.0" encoding="utf-8"?>
<sst xmlns="http://schemas.openxmlformats.org/spreadsheetml/2006/main" count="359" uniqueCount="253">
  <si>
    <t>./cnf/bench/model_16.cnf|./cnf/bench/prod-16-0.prod|7.143794775009155|8|8|0|FMDiag|Sat4j|0|[(1860, [1016])]</t>
  </si>
  <si>
    <t>./cnf/bench/model_16.cnf|./cnf/bench/prod-16-0.prod|152.96949744224548|8|8|0|FMDiag|Sat4j|50|[(1860, [1016])]</t>
  </si>
  <si>
    <t>./cnf/bench/model_16.cnf|./cnf/bench/prod-16-0.prod|352.64086294174194|8|8|0|FMDiag|Sat4j|100|[(1860, [1016])]</t>
  </si>
  <si>
    <t>./cnf/bench/model_16.cnf|./cnf/bench/prod-16-0.prod|2.943129301071167|1|7|1|pFMDiag|Sat4j|0|[(1860, [1016])]</t>
  </si>
  <si>
    <t>./cnf/bench/model_16.cnf|./cnf/bench/prod-16-0.prod|160.87876844406128|1|7|1|pFMDiag|Sat4j|50|[(1860, [1016])]</t>
  </si>
  <si>
    <t>./cnf/bench/model_16.cnf|./cnf/bench/prod-16-0.prod|289.1832363605499|1|7|1|pFMDiag|Sat4j|100|[(1860, [1016])]</t>
  </si>
  <si>
    <t>./cnf/bench/model_16.cnf|./cnf/bench/prod-16-0.prod|2.9074957370758057|1|13|2|pFMDiag|Sat4j|0|[(1860, [1016])]</t>
  </si>
  <si>
    <t>./cnf/bench/model_16.cnf|./cnf/bench/prod-16-0.prod|148.59866952896118|1|13|2|pFMDiag|Sat4j|50|[(1860, [1016])]</t>
  </si>
  <si>
    <t>./cnf/bench/model_16.cnf|./cnf/bench/prod-16-0.prod|294.2098858356476|1|13|2|pFMDiag|Sat4j|100|[(1860, [1016])]</t>
  </si>
  <si>
    <t>./cnf/bench/model_16.cnf|./cnf/bench/prod-16-0.prod|2.3218576908111572|2|13|3|pFMDiag|Sat4j|0|[(1860, [1016])]</t>
  </si>
  <si>
    <t>./cnf/bench/model_16.cnf|./cnf/bench/prod-16-0.prod|94.267174243927|1|13|3|pFMDiag|Sat4j|50|[(1860, [1016])]</t>
  </si>
  <si>
    <t>./cnf/bench/model_16.cnf|./cnf/bench/prod-16-0.prod|190.565181016922|4|13|3|pFMDiag|Sat4j|100|[(1860, [1016])]</t>
  </si>
  <si>
    <t>./cnf/bench/model_16.cnf|./cnf/bench/prod-16-0.prod|4.591514348983765|3|19|4|pFMDiag|Sat4j|0|[(1860, [1016])]</t>
  </si>
  <si>
    <t>./cnf/bench/model_16.cnf|./cnf/bench/prod-16-0.prod|140.7747552394867|3|19|4|pFMDiag|Sat4j|50|[(1860, [1016])]</t>
  </si>
  <si>
    <t>./cnf/bench/model_16.cnf|./cnf/bench/prod-16-0.prod|211.8991355895996|2|19|4|pFMDiag|Sat4j|100|[(1860, [1016])]</t>
  </si>
  <si>
    <t>./cnf/bench/model_16.cnf|./cnf/bench/prod-16-1.prod|4.776265621185303|9|9|0|FMDiag|Sat4j|0|[(1856, [1005])]</t>
  </si>
  <si>
    <t>./cnf/bench/model_16.cnf|./cnf/bench/prod-16-1.prod|155.42749047279358|9|9|0|FMDiag|Sat4j|50|[(1856, [1005])]</t>
  </si>
  <si>
    <t>./cnf/bench/model_16.cnf|./cnf/bench/prod-16-1.prod|284.5743269920349|9|9|0|FMDiag|Sat4j|100|[(1856, [1005])]</t>
  </si>
  <si>
    <t>./cnf/bench/model_16.cnf|./cnf/bench/prod-16-1.prod|2.7539939880371094|1|8|1|pFMDiag|Sat4j|0|[(1856, [1005])]</t>
  </si>
  <si>
    <t>./cnf/bench/model_16.cnf|./cnf/bench/prod-16-1.prod|148.151709318161|1|8|1|pFMDiag|Sat4j|50|[(1856, [1005])]</t>
  </si>
  <si>
    <t>./cnf/bench/model_16.cnf|./cnf/bench/prod-16-1.prod|283.6266143321991|1|8|1|pFMDiag|Sat4j|100|[(1856, [1005])]</t>
  </si>
  <si>
    <t>./cnf/bench/model_16.cnf|./cnf/bench/prod-16-1.prod|2.845669746398926|1|13|2|pFMDiag|Sat4j|0|[(1856, [1005])]</t>
  </si>
  <si>
    <t>./cnf/bench/model_16.cnf|./cnf/bench/prod-16-1.prod|130.59991836547852|2|13|2|pFMDiag|Sat4j|50|[(1856, [1005])]</t>
  </si>
  <si>
    <t>./cnf/bench/model_16.cnf|./cnf/bench/prod-16-1.prod|296.06622648239136|2|13|2|pFMDiag|Sat4j|100|[(1856, [1005])]</t>
  </si>
  <si>
    <t>./cnf/bench/model_16.cnf|./cnf/bench/prod-16-1.prod|2.411329507827759|4|15|3|pFMDiag|Sat4j|0|[(1856, [1005])]</t>
  </si>
  <si>
    <t>./cnf/bench/model_16.cnf|./cnf/bench/prod-16-1.prod|124.2276713848114|2|15|3|pFMDiag|Sat4j|50|[(1856, [1005])]</t>
  </si>
  <si>
    <t>./cnf/bench/model_16.cnf|./cnf/bench/prod-16-1.prod|243.16395711898804|2|15|3|pFMDiag|Sat4j|100|[(1856, [1005])]</t>
  </si>
  <si>
    <t>./cnf/bench/model_16.cnf|./cnf/bench/prod-16-1.prod|3.527825355529785|3|22|4|pFMDiag|Sat4j|0|[(1856, [1005])]</t>
  </si>
  <si>
    <t>./cnf/bench/model_16.cnf|./cnf/bench/prod-16-1.prod|125.91787004470825|4|22|4|pFMDiag|Sat4j|50|[(1856, [1005])]</t>
  </si>
  <si>
    <t>./cnf/bench/model_16.cnf|./cnf/bench/prod-16-1.prod|288.04141092300415|4|22|4|pFMDiag|Sat4j|100|[(1856, [1005])]</t>
  </si>
  <si>
    <t>./cnf/bench/model_16.cnf|./cnf/bench/prod-16-2.prod|4.4984517097473145|8|8|0|FMDiag|Sat4j|0|[(1858, [1011])]</t>
  </si>
  <si>
    <t>./cnf/bench/model_16.cnf|./cnf/bench/prod-16-2.prod|137.1493582725525|8|8|0|FMDiag|Sat4j|50|[(1858, [1011])]</t>
  </si>
  <si>
    <t>./cnf/bench/model_16.cnf|./cnf/bench/prod-16-2.prod|286.4150059223175|8|8|0|FMDiag|Sat4j|100|[(1858, [1011])]</t>
  </si>
  <si>
    <t>./cnf/bench/model_16.cnf|./cnf/bench/prod-16-2.prod|2.499600648880005|1|7|1|pFMDiag|Sat4j|0|[(1858, [1011])]</t>
  </si>
  <si>
    <t>./cnf/bench/model_16.cnf|./cnf/bench/prod-16-2.prod|190.0450234413147|1|7|1|pFMDiag|Sat4j|50|[(1858, [1011])]</t>
  </si>
  <si>
    <t>./cnf/bench/model_16.cnf|./cnf/bench/prod-16-2.prod|335.7223901748657|1|7|1|pFMDiag|Sat4j|100|[(1858, [1011])]</t>
  </si>
  <si>
    <t>./cnf/bench/model_16.cnf|./cnf/bench/prod-16-2.prod|3.8467960357666016|1|14|2|pFMDiag|Sat4j|0|[(1858, [1011])]</t>
  </si>
  <si>
    <t>./cnf/bench/model_16.cnf|./cnf/bench/prod-16-2.prod|142.4767518043518|1|14|2|pFMDiag|Sat4j|50|[(1858, [1011])]</t>
  </si>
  <si>
    <t>./cnf/bench/model_16.cnf|./cnf/bench/prod-16-2.prod|471.08184027671814|1|14|2|pFMDiag|Sat4j|100|[(1858, [1011])]</t>
  </si>
  <si>
    <t>./cnf/bench/model_16.cnf|./cnf/bench/prod-16-2.prod|2.543525457382202|3|14|3|pFMDiag|Sat4j|0|[(1858, [1011])]</t>
  </si>
  <si>
    <t>./cnf/bench/model_16.cnf|./cnf/bench/prod-16-2.prod|120.2882730960846|2|14|3|pFMDiag|Sat4j|50|[(1858, [1011])]</t>
  </si>
  <si>
    <t>./cnf/bench/model_16.cnf|./cnf/bench/prod-16-2.prod|436.5680773258209|3|14|3|pFMDiag|Sat4j|100|[(1858, [1011])]</t>
  </si>
  <si>
    <t>./cnf/bench/model_16.cnf|./cnf/bench/prod-16-2.prod|2.8043136596679688|3|20|4|pFMDiag|Sat4j|0|[(1858, [1011])]</t>
  </si>
  <si>
    <t>./cnf/bench/model_16.cnf|./cnf/bench/prod-16-2.prod|204.1770441532135|3|20|4|pFMDiag|Sat4j|50|[(1858, [1011])]</t>
  </si>
  <si>
    <t>./cnf/bench/model_16.cnf|./cnf/bench/prod-16-2.prod|217.27082180976868|4|20|4|pFMDiag|Sat4j|100|[(1858, [1011])]</t>
  </si>
  <si>
    <t>./cnf/bench/model_8.cnf|./cnf/bench/prod-8-0.prod|2.6760306358337402|7|7|0|FMDiag|Sat4j|0|[(1760, [1008])]</t>
  </si>
  <si>
    <t>./cnf/bench/model_8.cnf|./cnf/bench/prod-8-0.prod|108.06523776054382|7|7|0|FMDiag|Sat4j|50|[(1760, [1008])]</t>
  </si>
  <si>
    <t>./cnf/bench/model_8.cnf|./cnf/bench/prod-8-0.prod|216.46083736419678|7|7|0|FMDiag|Sat4j|100|[(1760, [1008])]</t>
  </si>
  <si>
    <t>./cnf/bench/model_8.cnf|./cnf/bench/prod-8-0.prod|2.157846450805664|1|6|1|pFMDiag|Sat4j|0|[(1760, [1008])]</t>
  </si>
  <si>
    <t>./cnf/bench/model_8.cnf|./cnf/bench/prod-8-0.prod|107.00705695152283|1|6|1|pFMDiag|Sat4j|50|[(1760, [1008])]</t>
  </si>
  <si>
    <t>./cnf/bench/model_8.cnf|./cnf/bench/prod-8-0.prod|223.10049438476562|1|6|1|pFMDiag|Sat4j|100|[(1760, [1008])]</t>
  </si>
  <si>
    <t>./cnf/bench/model_8.cnf|./cnf/bench/prod-8-0.prod|2.0896027088165283|1|12|2|pFMDiag|Sat4j|0|[(1760, [1008])]</t>
  </si>
  <si>
    <t>./cnf/bench/model_8.cnf|./cnf/bench/prod-8-0.prod|109.44267749786377|1|12|2|pFMDiag|Sat4j|50|[(1760, [1008])]</t>
  </si>
  <si>
    <t>./cnf/bench/model_8.cnf|./cnf/bench/prod-8-0.prod|326.9158658981323|1|12|2|pFMDiag|Sat4j|100|[(1760, [1008])]</t>
  </si>
  <si>
    <t>./cnf/bench/model_8.cnf|./cnf/bench/prod-8-0.prod|1.6413426399230957|3|12|3|pFMDiag|Sat4j|0|[(1760, [1008])]</t>
  </si>
  <si>
    <t>./cnf/bench/model_8.cnf|./cnf/bench/prod-8-0.prod|74.12753343582153|1|12|3|pFMDiag|Sat4j|50|[(1760, [1008])]</t>
  </si>
  <si>
    <t>./cnf/bench/model_8.cnf|./cnf/bench/prod-8-0.prod|142.6888346672058|2|12|3|pFMDiag|Sat4j|100|[(1760, [1008])]</t>
  </si>
  <si>
    <t>./cnf/bench/model_8.cnf|./cnf/bench/prod-8-0.prod|1.9722254276275635|2|17|4|pFMDiag|Sat4j|0|[(1760, [1008])]</t>
  </si>
  <si>
    <t>./cnf/bench/model_8.cnf|./cnf/bench/prod-8-0.prod|104.13083219528198|3|17|4|pFMDiag|Sat4j|50|[(1760, [1008])]</t>
  </si>
  <si>
    <t>./cnf/bench/model_8.cnf|./cnf/bench/prod-8-0.prod|202.90748715400696|2|17|4|pFMDiag|Sat4j|100|[(1760, [1008])]</t>
  </si>
  <si>
    <t>./cnf/bench/model_8.cnf|./cnf/bench/prod-8-1.prod|4.382853031158447|9|9|0|FMDiag|Sat4j|0|[(1743, [1003])]</t>
  </si>
  <si>
    <t>./cnf/bench/model_8.cnf|./cnf/bench/prod-8-1.prod|142.5490963459015|9|9|0|FMDiag|Sat4j|50|[(1743, [1003])]</t>
  </si>
  <si>
    <t>./cnf/bench/model_8.cnf|./cnf/bench/prod-8-1.prod|298.14660930633545|9|9|0|FMDiag|Sat4j|100|[(1743, [1003])]</t>
  </si>
  <si>
    <t>./cnf/bench/model_8.cnf|./cnf/bench/prod-8-1.prod|2.756678581237793|1|8|1|pFMDiag|Sat4j|0|[(1743, [1003])]</t>
  </si>
  <si>
    <t>./cnf/bench/model_8.cnf|./cnf/bench/prod-8-1.prod|147.54459500312805|1|8|1|pFMDiag|Sat4j|50|[(1743, [1003])]</t>
  </si>
  <si>
    <t>./cnf/bench/model_8.cnf|./cnf/bench/prod-8-1.prod|301.5075132846832|1|8|1|pFMDiag|Sat4j|100|[(1743, [1003])]</t>
  </si>
  <si>
    <t>./cnf/bench/model_8.cnf|./cnf/bench/prod-8-1.prod|3.0724382400512695|2|12|2|pFMDiag|Sat4j|0|[(1743, [1003])]</t>
  </si>
  <si>
    <t>./cnf/bench/model_8.cnf|./cnf/bench/prod-8-1.prod|105.78116250038147|1|12|2|pFMDiag|Sat4j|50|[(1743, [1003])]</t>
  </si>
  <si>
    <t>./cnf/bench/model_8.cnf|./cnf/bench/prod-8-1.prod|214.7521574497223|1|12|2|pFMDiag|Sat4j|100|[(1743, [1003])]</t>
  </si>
  <si>
    <t>./cnf/bench/model_8.cnf|./cnf/bench/prod-8-1.prod|2.1367063522338867|2|16|3|pFMDiag|Sat4j|0|[(1743, [1003])]</t>
  </si>
  <si>
    <t>./cnf/bench/model_8.cnf|./cnf/bench/prod-8-1.prod|124.74241209030151|4|16|3|pFMDiag|Sat4j|50|[(1743, [1003])]</t>
  </si>
  <si>
    <t>./cnf/bench/model_8.cnf|./cnf/bench/prod-8-1.prod|200.86029934883118|2|16|3|pFMDiag|Sat4j|100|[(1743, [1003])]</t>
  </si>
  <si>
    <t>./cnf/bench/model_8.cnf|./cnf/bench/prod-8-1.prod|2.1478042602539062|1|20|4|pFMDiag|Sat4j|0|[(1743, [1003])]</t>
  </si>
  <si>
    <t>./cnf/bench/model_8.cnf|./cnf/bench/prod-8-1.prod|110.00635576248169|4|20|4|pFMDiag|Sat4j|50|[(1743, [1003])]</t>
  </si>
  <si>
    <t>./cnf/bench/model_8.cnf|./cnf/bench/prod-8-1.prod|202.38760542869568|5|20|4|pFMDiag|Sat4j|100|[(1743, [1003])]</t>
  </si>
  <si>
    <t>./cnf/bench/model_8.cnf|./cnf/bench/prod-8-2.prod|3.2538044452667236|9|9|0|FMDiag|Sat4j|0|[(1750, [1003])]</t>
  </si>
  <si>
    <t>./cnf/bench/model_8.cnf|./cnf/bench/prod-8-2.prod|137.1863842010498|9|9|0|FMDiag|Sat4j|50|[(1750, [1003])]</t>
  </si>
  <si>
    <t>./cnf/bench/model_8.cnf|./cnf/bench/prod-8-2.prod|437.4428927898407|9|9|0|FMDiag|Sat4j|100|[(1750, [1003])]</t>
  </si>
  <si>
    <t>./cnf/bench/model_8.cnf|./cnf/bench/prod-8-2.prod|2.8336639404296875|1|8|1|pFMDiag|Sat4j|0|[(1750, [1003])]</t>
  </si>
  <si>
    <t>./cnf/bench/model_8.cnf|./cnf/bench/prod-8-2.prod|130.5083885192871|1|8|1|pFMDiag|Sat4j|50|[(1750, [1003])]</t>
  </si>
  <si>
    <t>./cnf/bench/model_8.cnf|./cnf/bench/prod-8-2.prod|292.0504484176636|1|8|1|pFMDiag|Sat4j|100|[(1750, [1003])]</t>
  </si>
  <si>
    <t>./cnf/bench/model_8.cnf|./cnf/bench/prod-8-2.prod|2.5674116611480713|1|12|2|pFMDiag|Sat4j|0|[(1750, [1003])]</t>
  </si>
  <si>
    <t>./cnf/bench/model_8.cnf|./cnf/bench/prod-8-2.prod|148.70508885383606|1|12|2|pFMDiag|Sat4j|50|[(1750, [1003])]</t>
  </si>
  <si>
    <t>./cnf/bench/model_8.cnf|./cnf/bench/prod-8-2.prod|260.8054528236389|1|12|2|pFMDiag|Sat4j|100|[(1750, [1003])]</t>
  </si>
  <si>
    <t>./cnf/bench/model_8.cnf|./cnf/bench/prod-8-2.prod|2.840733051300049|2|16|3|pFMDiag|Sat4j|0|[(1750, [1003])]</t>
  </si>
  <si>
    <t>./cnf/bench/model_8.cnf|./cnf/bench/prod-8-2.prod|122.55914425849915|2|16|3|pFMDiag|Sat4j|50|[(1750, [1003])]</t>
  </si>
  <si>
    <t>./cnf/bench/model_8.cnf|./cnf/bench/prod-8-2.prod|248.34726881980896|3|16|3|pFMDiag|Sat4j|100|[(1750, [1003])]</t>
  </si>
  <si>
    <t>./cnf/bench/model_8.cnf|./cnf/bench/prod-8-2.prod|2.9873080253601074|2|22|4|pFMDiag|Sat4j|0|[(1750, [1003])]</t>
  </si>
  <si>
    <t>./cnf/bench/model_8.cnf|./cnf/bench/prod-8-2.prod|166.7231523990631|3|22|4|pFMDiag|Sat4j|50|[(1750, [1003])]</t>
  </si>
  <si>
    <t>./cnf/bench/model_8.cnf|./cnf/bench/prod-8-2.prod|355.90732169151306|3|22|4|pFMDiag|Sat4j|100|[(1750, [1003])]</t>
  </si>
  <si>
    <t>./cnf/bench/model_4.cnf|./cnf/bench/prod-4-0.prod|2.840700626373291|7|7|0|FMDiag|Sat4j|0|[(1734, [1004])]</t>
  </si>
  <si>
    <t>./cnf/bench/model_4.cnf|./cnf/bench/prod-4-0.prod|128.705078125|7|7|0|FMDiag|Sat4j|50|[(1734, [1004])]</t>
  </si>
  <si>
    <t>./cnf/bench/model_4.cnf|./cnf/bench/prod-4-0.prod|239.37624621391296|7|7|0|FMDiag|Sat4j|100|[(1734, [1004])]</t>
  </si>
  <si>
    <t>./cnf/bench/model_4.cnf|./cnf/bench/prod-4-0.prod|2.747685194015503|1|6|1|pFMDiag|Sat4j|0|[(1734, [1004])]</t>
  </si>
  <si>
    <t>./cnf/bench/model_4.cnf|./cnf/bench/prod-4-0.prod|124.52418398857117|1|6|1|pFMDiag|Sat4j|50|[(1734, [1004])]</t>
  </si>
  <si>
    <t>./cnf/bench/model_4.cnf|./cnf/bench/prod-4-0.prod|290.0427486896515|1|6|1|pFMDiag|Sat4j|100|[(1734, [1004])]</t>
  </si>
  <si>
    <t>./cnf/bench/model_4.cnf|./cnf/bench/prod-4-0.prod|3.029521942138672|1|12|2|pFMDiag|Sat4j|0|[(1734, [1004])]</t>
  </si>
  <si>
    <t>./cnf/bench/model_4.cnf|./cnf/bench/prod-4-0.prod|139.36173629760742|1|12|2|pFMDiag|Sat4j|50|[(1734, [1004])]</t>
  </si>
  <si>
    <t>./cnf/bench/model_4.cnf|./cnf/bench/prod-4-0.prod|353.2984619140625|1|12|2|pFMDiag|Sat4j|100|[(1734, [1004])]</t>
  </si>
  <si>
    <t>./cnf/bench/model_4.cnf|./cnf/bench/prod-4-0.prod|1.918424367904663|3|12|3|pFMDiag|Sat4j|0|[(1734, [1004])]</t>
  </si>
  <si>
    <t>./cnf/bench/model_4.cnf|./cnf/bench/prod-4-0.prod|93.97489643096924|3|12|3|pFMDiag|Sat4j|50|[(1734, [1004])]</t>
  </si>
  <si>
    <t>./cnf/bench/model_4.cnf|./cnf/bench/prod-4-0.prod|239.75081944465637|1|12|3|pFMDiag|Sat4j|100|[(1734, [1004])]</t>
  </si>
  <si>
    <t>./cnf/bench/model_4.cnf|./cnf/bench/prod-4-0.prod|2.817425489425659|1|17|4|pFMDiag|Sat4j|0|[(1734, [1004])]</t>
  </si>
  <si>
    <t>./cnf/bench/model_4.cnf|./cnf/bench/prod-4-0.prod|116.03354096412659|3|17|4|pFMDiag|Sat4j|50|[(1734, [1004])]</t>
  </si>
  <si>
    <t>./cnf/bench/model_4.cnf|./cnf/bench/prod-4-0.prod|258.21194553375244|3|17|4|pFMDiag|Sat4j|100|[(1734, [1004])]</t>
  </si>
  <si>
    <t>./cnf/bench/model_4.cnf|./cnf/bench/prod-4-1.prod|3.2616775035858154|8|8|0|FMDiag|Sat4j|0|[(1720, [1001])]</t>
  </si>
  <si>
    <t>./cnf/bench/model_4.cnf|./cnf/bench/prod-4-1.prod|132.56094360351562|8|8|0|FMDiag|Sat4j|50|[(1720, [1001])]</t>
  </si>
  <si>
    <t>./cnf/bench/model_4.cnf|./cnf/bench/prod-4-1.prod|237.94063472747803|8|8|0|FMDiag|Sat4j|100|[(1720, [1001])]</t>
  </si>
  <si>
    <t>./cnf/bench/model_4.cnf|./cnf/bench/prod-4-1.prod|3.5370254516601562|1|7|1|pFMDiag|Sat4j|0|[(1720, [1001])]</t>
  </si>
  <si>
    <t>./cnf/bench/model_4.cnf|./cnf/bench/prod-4-1.prod|142.8516607284546|1|7|1|pFMDiag|Sat4j|50|[(1720, [1001])]</t>
  </si>
  <si>
    <t>./cnf/bench/model_4.cnf|./cnf/bench/prod-4-1.prod|320.76090812683105|1|7|1|pFMDiag|Sat4j|100|[(1720, [1001])]</t>
  </si>
  <si>
    <t>./cnf/bench/model_4.cnf|./cnf/bench/prod-4-1.prod|2.012878894805908|1|11|2|pFMDiag|Sat4j|0|[(1720, [1001])]</t>
  </si>
  <si>
    <t>./cnf/bench/model_4.cnf|./cnf/bench/prod-4-1.prod|94.95806646347046|1|11|2|pFMDiag|Sat4j|50|[(1720, [1001])]</t>
  </si>
  <si>
    <t>./cnf/bench/model_4.cnf|./cnf/bench/prod-4-1.prod|210.8481867313385|1|11|2|pFMDiag|Sat4j|100|[(1720, [1001])]</t>
  </si>
  <si>
    <t>./cnf/bench/model_4.cnf|./cnf/bench/prod-4-1.prod|1.5815038681030273|3|14|3|pFMDiag|Sat4j|0|[(1720, [1001])]</t>
  </si>
  <si>
    <t>./cnf/bench/model_4.cnf|./cnf/bench/prod-4-1.prod|79.24887800216675|2|14|3|pFMDiag|Sat4j|50|[(1720, [1001])]</t>
  </si>
  <si>
    <t>./cnf/bench/model_4.cnf|./cnf/bench/prod-4-1.prod|170.23792839050293|3|14|3|pFMDiag|Sat4j|100|[(1720, [1001])]</t>
  </si>
  <si>
    <t>./cnf/bench/model_4.cnf|./cnf/bench/prod-4-1.prod|1.6975598335266113|2|18|4|pFMDiag|Sat4j|0|[(1720, [1001])]</t>
  </si>
  <si>
    <t>./cnf/bench/model_4.cnf|./cnf/bench/prod-4-1.prod|110.10600018501282|2|18|4|pFMDiag|Sat4j|50|[(1720, [1001])]</t>
  </si>
  <si>
    <t>./cnf/bench/model_4.cnf|./cnf/bench/prod-4-1.prod|186.11449456214905|4|18|4|pFMDiag|Sat4j|100|[(1720, [1001])]</t>
  </si>
  <si>
    <t>./cnf/bench/model_4.cnf|./cnf/bench/prod-4-2.prod|2.8611268997192383|9|9|0|FMDiag|Sat4j|0|[(1725, [1004])]</t>
  </si>
  <si>
    <t>./cnf/bench/model_4.cnf|./cnf/bench/prod-4-2.prod|151.93914985656738|9|9|0|FMDiag|Sat4j|50|[(1725, [1004])]</t>
  </si>
  <si>
    <t>./cnf/bench/model_4.cnf|./cnf/bench/prod-4-2.prod|254.7663538455963|9|9|0|FMDiag|Sat4j|100|[(1725, [1004])]</t>
  </si>
  <si>
    <t>./cnf/bench/model_4.cnf|./cnf/bench/prod-4-2.prod|2.532956123352051|1|8|1|pFMDiag|Sat4j|0|[(1725, [1004])]</t>
  </si>
  <si>
    <t>./cnf/bench/model_4.cnf|./cnf/bench/prod-4-2.prod|121.24229383468628|1|8|1|pFMDiag|Sat4j|50|[(1725, [1004])]</t>
  </si>
  <si>
    <t>./cnf/bench/model_4.cnf|./cnf/bench/prod-4-2.prod|254.14587306976318|1|8|1|pFMDiag|Sat4j|100|[(1725, [1004])]</t>
  </si>
  <si>
    <t>./cnf/bench/model_4.cnf|./cnf/bench/prod-4-2.prod|2.341905355453491|1|12|2|pFMDiag|Sat4j|0|[(1725, [1004])]</t>
  </si>
  <si>
    <t>./cnf/bench/model_4.cnf|./cnf/bench/prod-4-2.prod|99.20886063575745|1|12|2|pFMDiag|Sat4j|50|[(1725, [1004])]</t>
  </si>
  <si>
    <t>./cnf/bench/model_4.cnf|./cnf/bench/prod-4-2.prod|206.4090132713318|1|12|2|pFMDiag|Sat4j|100|[(1725, [1004])]</t>
  </si>
  <si>
    <t>./cnf/bench/model_4.cnf|./cnf/bench/prod-4-2.prod|2.1856777667999268|1|16|3|pFMDiag|Sat4j|0|[(1725, [1004])]</t>
  </si>
  <si>
    <t>./cnf/bench/model_4.cnf|./cnf/bench/prod-4-2.prod|140.21454620361328|3|16|3|pFMDiag|Sat4j|50|[(1725, [1004])]</t>
  </si>
  <si>
    <t>./cnf/bench/model_4.cnf|./cnf/bench/prod-4-2.prod|314.739075422287|2|16|3|pFMDiag|Sat4j|100|[(1725, [1004])]</t>
  </si>
  <si>
    <t>./cnf/bench/model_4.cnf|./cnf/bench/prod-4-2.prod|2.528691053390503|2|21|4|pFMDiag|Sat4j|0|[(1725, [1004])]</t>
  </si>
  <si>
    <t>./cnf/bench/model_4.cnf|./cnf/bench/prod-4-2.prod|127.32104897499084|2|21|4|pFMDiag|Sat4j|50|[(1725, [1004])]</t>
  </si>
  <si>
    <t>./cnf/bench/model_4.cnf|./cnf/bench/prod-4-2.prod|275.75846552848816|3|21|4|pFMDiag|Sat4j|100|[(1725, [1004])]</t>
  </si>
  <si>
    <t>./cnf/bench/model_2.cnf|./cnf/bench/prod-2-0.prod|2.7605490684509277|7|7|0|FMDiag|Sat4j|0|[(1729, [1002])]</t>
  </si>
  <si>
    <t>./cnf/bench/model_2.cnf|./cnf/bench/prod-2-0.prod|110.67142033576965|7|7|0|FMDiag|Sat4j|50|[(1729, [1002])]</t>
  </si>
  <si>
    <t>./cnf/bench/model_2.cnf|./cnf/bench/prod-2-0.prod|211.61766600608826|7|7|0|FMDiag|Sat4j|100|[(1729, [1002])]</t>
  </si>
  <si>
    <t>./cnf/bench/model_2.cnf|./cnf/bench/prod-2-0.prod|2.2102925777435303|1|6|1|pFMDiag|Sat4j|0|[(1729, [1002])]</t>
  </si>
  <si>
    <t>./cnf/bench/model_2.cnf|./cnf/bench/prod-2-0.prod|139.1961989402771|1|6|1|pFMDiag|Sat4j|50|[(1729, [1002])]</t>
  </si>
  <si>
    <t>./cnf/bench/model_2.cnf|./cnf/bench/prod-2-0.prod|208.49125790596008|1|6|1|pFMDiag|Sat4j|100|[(1729, [1002])]</t>
  </si>
  <si>
    <t>./cnf/bench/model_2.cnf|./cnf/bench/prod-2-0.prod|2.1317331790924072|1|12|2|pFMDiag|Sat4j|0|[(1729, [1002])]</t>
  </si>
  <si>
    <t>./cnf/bench/model_2.cnf|./cnf/bench/prod-2-0.prod|107.14503836631775|1|12|2|pFMDiag|Sat4j|50|[(1729, [1002])]</t>
  </si>
  <si>
    <t>./cnf/bench/model_2.cnf|./cnf/bench/prod-2-0.prod|208.24175381660461|1|12|2|pFMDiag|Sat4j|100|[(1729, [1002])]</t>
  </si>
  <si>
    <t>./cnf/bench/model_2.cnf|./cnf/bench/prod-2-0.prod|1.3681964874267578|2|12|3|pFMDiag|Sat4j|0|[(1729, [1002])]</t>
  </si>
  <si>
    <t>./cnf/bench/model_2.cnf|./cnf/bench/prod-2-0.prod|78.39416003227234|3|12|3|pFMDiag|Sat4j|50|[(1729, [1002])]</t>
  </si>
  <si>
    <t>./cnf/bench/model_2.cnf|./cnf/bench/prod-2-0.prod|213.0726020336151|3|12|3|pFMDiag|Sat4j|100|[(1729, [1002])]</t>
  </si>
  <si>
    <t>./cnf/bench/model_2.cnf|./cnf/bench/prod-2-0.prod|2.882174015045166|2|17|4|pFMDiag|Sat4j|0|[(1729, [1002])]</t>
  </si>
  <si>
    <t>./cnf/bench/model_2.cnf|./cnf/bench/prod-2-0.prod|79.74290609359741|3|17|4|pFMDiag|Sat4j|50|[(1729, [1002])]</t>
  </si>
  <si>
    <t>./cnf/bench/model_2.cnf|./cnf/bench/prod-2-0.prod|142.47908449172974|3|17|4|pFMDiag|Sat4j|100|[(1729, [1002])]</t>
  </si>
  <si>
    <t>./cnf/bench/model_2.cnf|./cnf/bench/prod-2-1.prod|3.2357101440429688|9|9|0|FMDiag|Sat4j|0|[(1714, [1001])]</t>
  </si>
  <si>
    <t>./cnf/bench/model_2.cnf|./cnf/bench/prod-2-1.prod|128.89414811134338|9|9|0|FMDiag|Sat4j|50|[(1714, [1001])]</t>
  </si>
  <si>
    <t>./cnf/bench/model_2.cnf|./cnf/bench/prod-2-1.prod|276.62641978263855|9|9|0|FMDiag|Sat4j|100|[(1714, [1001])]</t>
  </si>
  <si>
    <t>./cnf/bench/model_2.cnf|./cnf/bench/prod-2-1.prod|2.4382224082946777|1|8|1|pFMDiag|Sat4j|0|[(1714, [1001])]</t>
  </si>
  <si>
    <t>./cnf/bench/model_2.cnf|./cnf/bench/prod-2-1.prod|129.56716680526733|1|8|1|pFMDiag|Sat4j|50|[(1714, [1001])]</t>
  </si>
  <si>
    <t>./cnf/bench/model_2.cnf|./cnf/bench/prod-2-1.prod|253.89834356307983|1|8|1|pFMDiag|Sat4j|100|[(1714, [1001])]</t>
  </si>
  <si>
    <t>./cnf/bench/model_2.cnf|./cnf/bench/prod-2-1.prod|2.515265703201294|1|12|2|pFMDiag|Sat4j|0|[(1714, [1001])]</t>
  </si>
  <si>
    <t>./cnf/bench/model_2.cnf|./cnf/bench/prod-2-1.prod|114.23069643974304|1|12|2|pFMDiag|Sat4j|50|[(1714, [1001])]</t>
  </si>
  <si>
    <t>./cnf/bench/model_2.cnf|./cnf/bench/prod-2-1.prod|266.29598665237427|2|12|2|pFMDiag|Sat4j|100|[(1714, [1001])]</t>
  </si>
  <si>
    <t>./cnf/bench/model_2.cnf|./cnf/bench/prod-2-1.prod|1.833538293838501|2|15|3|pFMDiag|Sat4j|0|[(1714, [1001])]</t>
  </si>
  <si>
    <t>./cnf/bench/model_2.cnf|./cnf/bench/prod-2-1.prod|95.10263347625732|2|15|3|pFMDiag|Sat4j|50|[(1714, [1001])]</t>
  </si>
  <si>
    <t>./cnf/bench/model_2.cnf|./cnf/bench/prod-2-1.prod|199.4614086151123|3|15|3|pFMDiag|Sat4j|100|[(1714, [1001])]</t>
  </si>
  <si>
    <t>./cnf/bench/model_2.cnf|./cnf/bench/prod-2-1.prod|2.086148977279663|3|19|4|pFMDiag|Sat4j|0|[(1714, [1001])]</t>
  </si>
  <si>
    <t>./cnf/bench/model_2.cnf|./cnf/bench/prod-2-1.prod|97.41937494277954|3|19|4|pFMDiag|Sat4j|50|[(1714, [1001])]</t>
  </si>
  <si>
    <t>./cnf/bench/model_2.cnf|./cnf/bench/prod-2-1.prod|208.15665411949158|3|19|4|pFMDiag|Sat4j|100|[(1714, [1001])]</t>
  </si>
  <si>
    <t>./cnf/bench/model_2.cnf|./cnf/bench/prod-2-2.prod|2.9628570079803467|8|8|0|FMDiag|Sat4j|0|[(1725, [1001])]</t>
  </si>
  <si>
    <t>./cnf/bench/model_2.cnf|./cnf/bench/prod-2-2.prod|110.32122755050659|8|8|0|FMDiag|Sat4j|50|[(1725, [1001])]</t>
  </si>
  <si>
    <t>./cnf/bench/model_2.cnf|./cnf/bench/prod-2-2.prod|231.1028697490692|8|8|0|FMDiag|Sat4j|100|[(1725, [1001])]</t>
  </si>
  <si>
    <t>./cnf/bench/model_2.cnf|./cnf/bench/prod-2-2.prod|2.3814666271209717|1|7|1|pFMDiag|Sat4j|0|[(1725, [1001])]</t>
  </si>
  <si>
    <t>./cnf/bench/model_2.cnf|./cnf/bench/prod-2-2.prod|126.01486158370972|1|7|1|pFMDiag|Sat4j|50|[(1725, [1001])]</t>
  </si>
  <si>
    <t>./cnf/bench/model_2.cnf|./cnf/bench/prod-2-2.prod|259.6349387168884|1|7|1|pFMDiag|Sat4j|100|[(1725, [1001])]</t>
  </si>
  <si>
    <t>./cnf/bench/model_2.cnf|./cnf/bench/prod-2-2.prod|2.1790645122528076|1|11|2|pFMDiag|Sat4j|0|[(1725, [1001])]</t>
  </si>
  <si>
    <t>./cnf/bench/model_2.cnf|./cnf/bench/prod-2-2.prod|98.27629923820496|1|11|2|pFMDiag|Sat4j|50|[(1725, [1001])]</t>
  </si>
  <si>
    <t>./cnf/bench/model_2.cnf|./cnf/bench/prod-2-2.prod|257.84649181365967|1|11|2|pFMDiag|Sat4j|100|[(1725, [1001])]</t>
  </si>
  <si>
    <t>./cnf/bench/model_2.cnf|./cnf/bench/prod-2-2.prod|1.838261604309082|3|13|3|pFMDiag|Sat4j|0|[(1725, [1001])]</t>
  </si>
  <si>
    <t>./cnf/bench/model_2.cnf|./cnf/bench/prod-2-2.prod|138.23681735992432|4|13|3|pFMDiag|Sat4j|50|[(1725, [1001])]</t>
  </si>
  <si>
    <t>./cnf/bench/model_2.cnf|./cnf/bench/prod-2-2.prod|144.45731258392334|3|13|3|pFMDiag|Sat4j|100|[(1725, [1001])]</t>
  </si>
  <si>
    <t>./cnf/bench/model_2.cnf|./cnf/bench/prod-2-2.prod|1.7344324588775635|4|19|4|pFMDiag|Sat4j|0|[(1725, [1001])]</t>
  </si>
  <si>
    <t>./cnf/bench/model_2.cnf|./cnf/bench/prod-2-2.prod|81.87104511260986|3|19|4|pFMDiag|Sat4j|50|[(1725, [1001])]</t>
  </si>
  <si>
    <t>./cnf/bench/model_2.cnf|./cnf/bench/prod-2-2.prod|193.14786219596863|4|19|4|pFMDiag|Sat4j|100|[(1725, [1001])]</t>
  </si>
  <si>
    <t>./cnf/bench/model_1.cnf|./cnf/bench/prod-1-0.prod|2.4461841583251953|7|7|0|FMDiag|Sat4j|0|[(1726, [1001])]</t>
  </si>
  <si>
    <t>./cnf/bench/model_1.cnf|./cnf/bench/prod-1-0.prod|107.5682282447815|7|7|0|FMDiag|Sat4j|50|[(1726, [1001])]</t>
  </si>
  <si>
    <t>./cnf/bench/model_1.cnf|./cnf/bench/prod-1-0.prod|203.30936861038208|7|7|0|FMDiag|Sat4j|100|[(1726, [1001])]</t>
  </si>
  <si>
    <t>./cnf/bench/model_1.cnf|./cnf/bench/prod-1-0.prod|2.0110559463500977|1|6|1|pFMDiag|Sat4j|0|[(1726, [1001])]</t>
  </si>
  <si>
    <t>./cnf/bench/model_1.cnf|./cnf/bench/prod-1-0.prod|117.94491910934448|1|6|1|pFMDiag|Sat4j|50|[(1726, [1001])]</t>
  </si>
  <si>
    <t>./cnf/bench/model_1.cnf|./cnf/bench/prod-1-0.prod|372.7235918045044|1|6|1|pFMDiag|Sat4j|100|[(1726, [1001])]</t>
  </si>
  <si>
    <t>./cnf/bench/model_1.cnf|./cnf/bench/prod-1-0.prod|2.214897394180298|1|12|2|pFMDiag|Sat4j|0|[(1726, [1001])]</t>
  </si>
  <si>
    <t>./cnf/bench/model_1.cnf|./cnf/bench/prod-1-0.prod|128.65742659568787|1|12|2|pFMDiag|Sat4j|50|[(1726, [1001])]</t>
  </si>
  <si>
    <t>./cnf/bench/model_1.cnf|./cnf/bench/prod-1-0.prod|226.6358287334442|1|12|2|pFMDiag|Sat4j|100|[(1726, [1001])]</t>
  </si>
  <si>
    <t>./cnf/bench/model_1.cnf|./cnf/bench/prod-1-0.prod|1.3505549430847168|1|12|3|pFMDiag|Sat4j|0|[(1726, [1001])]</t>
  </si>
  <si>
    <t>./cnf/bench/model_1.cnf|./cnf/bench/prod-1-0.prod|62.898457050323486|2|12|3|pFMDiag|Sat4j|50|[(1726, [1001])]</t>
  </si>
  <si>
    <t>./cnf/bench/model_1.cnf|./cnf/bench/prod-1-0.prod|180.01113772392273|1|12|3|pFMDiag|Sat4j|100|[(1726, [1001])]</t>
  </si>
  <si>
    <t>./cnf/bench/model_1.cnf|./cnf/bench/prod-1-0.prod|1.9034628868103027|2|17|4|pFMDiag|Sat4j|0|[(1726, [1001])]</t>
  </si>
  <si>
    <t>./cnf/bench/model_1.cnf|./cnf/bench/prod-1-0.prod|86.23267269134521|3|17|4|pFMDiag|Sat4j|50|[(1726, [1001])]</t>
  </si>
  <si>
    <t>./cnf/bench/model_1.cnf|./cnf/bench/prod-1-0.prod|182.51519966125488|3|17|4|pFMDiag|Sat4j|100|[(1726, [1001])]</t>
  </si>
  <si>
    <t>./cnf/bench/model_1.cnf|./cnf/bench/prod-1-1.prod|3.0240774154663086|8|8|0|FMDiag|Sat4j|0|[(1724, [1001])]</t>
  </si>
  <si>
    <t>./cnf/bench/model_1.cnf|./cnf/bench/prod-1-1.prod|116.69922065734863|8|8|0|FMDiag|Sat4j|50|[(1724, [1001])]</t>
  </si>
  <si>
    <t>./cnf/bench/model_1.cnf|./cnf/bench/prod-1-1.prod|263.1583569049835|8|8|0|FMDiag|Sat4j|100|[(1724, [1001])]</t>
  </si>
  <si>
    <t>./cnf/bench/model_1.cnf|./cnf/bench/prod-1-1.prod|2.428842782974243|1|7|1|pFMDiag|Sat4j|0|[(1724, [1001])]</t>
  </si>
  <si>
    <t>./cnf/bench/model_1.cnf|./cnf/bench/prod-1-1.prod|119.75928807258606|1|7|1|pFMDiag|Sat4j|50|[(1724, [1001])]</t>
  </si>
  <si>
    <t>./cnf/bench/model_1.cnf|./cnf/bench/prod-1-1.prod|228.45228695869446|1|7|1|pFMDiag|Sat4j|100|[(1724, [1001])]</t>
  </si>
  <si>
    <t>./cnf/bench/model_1.cnf|./cnf/bench/prod-1-1.prod|2.222032070159912|1|12|2|pFMDiag|Sat4j|0|[(1724, [1001])]</t>
  </si>
  <si>
    <t>./cnf/bench/model_1.cnf|./cnf/bench/prod-1-1.prod|123.17421269416809|1|12|2|pFMDiag|Sat4j|50|[(1724, [1001])]</t>
  </si>
  <si>
    <t>./cnf/bench/model_1.cnf|./cnf/bench/prod-1-1.prod|217.1842532157898|1|12|2|pFMDiag|Sat4j|100|[(1724, [1001])]</t>
  </si>
  <si>
    <t>./cnf/bench/model_1.cnf|./cnf/bench/prod-1-1.prod|1.6415612697601318|2|14|3|pFMDiag|Sat4j|0|[(1724, [1001])]</t>
  </si>
  <si>
    <t>./cnf/bench/model_1.cnf|./cnf/bench/prod-1-1.prod|85.1572756767273|2|14|3|pFMDiag|Sat4j|50|[(1724, [1001])]</t>
  </si>
  <si>
    <t>./cnf/bench/model_1.cnf|./cnf/bench/prod-1-1.prod|181.78625202178955|4|14|3|pFMDiag|Sat4j|100|[(1724, [1001])]</t>
  </si>
  <si>
    <t>./cnf/bench/model_1.cnf|./cnf/bench/prod-1-1.prod|2.104250431060791|1|19|4|pFMDiag|Sat4j|0|[(1724, [1001])]</t>
  </si>
  <si>
    <t>./cnf/bench/model_1.cnf|./cnf/bench/prod-1-1.prod|93.0828320980072|2|19|4|pFMDiag|Sat4j|50|[(1724, [1001])]</t>
  </si>
  <si>
    <t>./cnf/bench/model_1.cnf|./cnf/bench/prod-1-1.prod|177.94705271720886|3|19|4|pFMDiag|Sat4j|100|[(1724, [1001])]</t>
  </si>
  <si>
    <t>./cnf/bench/model_1.cnf|./cnf/bench/prod-1-2.prod|2.899932861328125|9|9|0|FMDiag|Sat4j|0|[(1692, [1001])]</t>
  </si>
  <si>
    <t>./cnf/bench/model_1.cnf|./cnf/bench/prod-1-2.prod|121.65897393226624|9|9|0|FMDiag|Sat4j|50|[(1692, [1001])]</t>
  </si>
  <si>
    <t>./cnf/bench/model_1.cnf|./cnf/bench/prod-1-2.prod|242.32443118095398|9|9|0|FMDiag|Sat4j|100|[(1692, [1001])]</t>
  </si>
  <si>
    <t>./cnf/bench/model_1.cnf|./cnf/bench/prod-1-2.prod|2.4286890029907227|1|8|1|pFMDiag|Sat4j|0|[(1692, [1001])]</t>
  </si>
  <si>
    <t>./cnf/bench/model_1.cnf|./cnf/bench/prod-1-2.prod|152.23434352874756|1|8|1|pFMDiag|Sat4j|50|[(1692, [1001])]</t>
  </si>
  <si>
    <t>./cnf/bench/model_1.cnf|./cnf/bench/prod-1-2.prod|262.06682085990906|1|8|1|pFMDiag|Sat4j|100|[(1692, [1001])]</t>
  </si>
  <si>
    <t>./cnf/bench/model_1.cnf|./cnf/bench/prod-1-2.prod|1.9798610210418701|1|10|2|pFMDiag|Sat4j|0|[(1692, [1001])]</t>
  </si>
  <si>
    <t>./cnf/bench/model_1.cnf|./cnf/bench/prod-1-2.prod|122.33577823638916|1|10|2|pFMDiag|Sat4j|50|[(1692, [1001])]</t>
  </si>
  <si>
    <t>./cnf/bench/model_1.cnf|./cnf/bench/prod-1-2.prod|240.97709608078003|1|10|2|pFMDiag|Sat4j|100|[(1692, [1001])]</t>
  </si>
  <si>
    <t>./cnf/bench/model_1.cnf|./cnf/bench/prod-1-2.prod|2.1656081676483154|1|16|3|pFMDiag|Sat4j|0|[(1692, [1001])]</t>
  </si>
  <si>
    <t>./cnf/bench/model_1.cnf|./cnf/bench/prod-1-2.prod|114.99952340126038|1|16|3|pFMDiag|Sat4j|50|[(1692, [1001])]</t>
  </si>
  <si>
    <t>./cnf/bench/model_1.cnf|./cnf/bench/prod-1-2.prod|223.21983695030212|2|16|3|pFMDiag|Sat4j|100|[(1692, [1001])]</t>
  </si>
  <si>
    <t>./cnf/bench/model_1.cnf|./cnf/bench/prod-1-2.prod|2.5856473445892334|3|21|4|pFMDiag|Sat4j|0|[(1692, [1001])]</t>
  </si>
  <si>
    <t>./cnf/bench/model_1.cnf|./cnf/bench/prod-1-2.prod|127.72712516784668|3|21|4|pFMDiag|Sat4j|50|[(1692, [1001])]</t>
  </si>
  <si>
    <t>./cnf/bench/model_1.cnf|./cnf/bench/prod-1-2.prod|346.5863928794861|3|21|4|pFMDiag|Sat4j|100|[(1692, [1001])]</t>
  </si>
  <si>
    <t>Time Avg</t>
  </si>
  <si>
    <t>Model</t>
  </si>
  <si>
    <t>Product</t>
  </si>
  <si>
    <t>FastDiag</t>
  </si>
  <si>
    <t>pFastDiag 1 (2 process)</t>
  </si>
  <si>
    <t>pFastDiag 2 (4 process)</t>
  </si>
  <si>
    <t>pFastDiag 3 (8 process)</t>
  </si>
  <si>
    <t>pFastDiag 4 (16 process)</t>
  </si>
  <si>
    <t>model_16.cnf</t>
  </si>
  <si>
    <t>prod-16-0.prod</t>
  </si>
  <si>
    <t>prod-16-1.prod</t>
  </si>
  <si>
    <t>prod-16-2.prod</t>
  </si>
  <si>
    <t>model_8.cnf</t>
  </si>
  <si>
    <t>prod-8-0.prod</t>
  </si>
  <si>
    <t>prod-8-1.prod</t>
  </si>
  <si>
    <t>prod-8-2.prod</t>
  </si>
  <si>
    <t>model_4.cnf</t>
  </si>
  <si>
    <t>prod-4-0.prod</t>
  </si>
  <si>
    <t>prod-4-1.prod</t>
  </si>
  <si>
    <t>prod-4-2.prod</t>
  </si>
  <si>
    <t>model_2.cnf</t>
  </si>
  <si>
    <t>prod-2-0.prod</t>
  </si>
  <si>
    <t>prod-2-1.prod</t>
  </si>
  <si>
    <t>prod-2-2.prod</t>
  </si>
  <si>
    <t>model_1.cnf</t>
  </si>
  <si>
    <t>prod-1-0.prod</t>
  </si>
  <si>
    <t>prod-1-1.prod</t>
  </si>
  <si>
    <t>prod-1-2.prod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</si>
</sst>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0" fontId="0" fillId="0" borderId="13" xfId="0" applyBorder="1" applyAlignment="1">
      <alignment vertical="center"/>
    </xf>
    <xf numFmtId="0" fontId="0" fillId="0" borderId="13" xfId="0" applyBorder="1" applyAlignment="1">
      <alignment vertical="center" wrapText="1"/>
    </xf>
    <xf numFmtId="0" fontId="0" fillId="33" borderId="0" xfId="0" applyFill="1"/>
    <xf numFmtId="0" fontId="0" fillId="34" borderId="0" xfId="0" applyFill="1"/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225"/>
  <sheetViews>
    <sheetView tabSelected="1" workbookViewId="0">
      <selection activeCell="D1" sqref="D1"/>
    </sheetView>
  </sheetViews>
  <sheetFormatPr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  <row r="10" spans="1:1" x14ac:dyDescent="0.3">
      <c r="A10" t="s">
        <v>9</v>
      </c>
    </row>
    <row r="11" spans="1:1" x14ac:dyDescent="0.3">
      <c r="A11" t="s">
        <v>10</v>
      </c>
    </row>
    <row r="12" spans="1:1" x14ac:dyDescent="0.3">
      <c r="A12" t="s">
        <v>11</v>
      </c>
    </row>
    <row r="13" spans="1:1" x14ac:dyDescent="0.3">
      <c r="A13" t="s">
        <v>12</v>
      </c>
    </row>
    <row r="14" spans="1:1" x14ac:dyDescent="0.3">
      <c r="A14" t="s">
        <v>13</v>
      </c>
    </row>
    <row r="15" spans="1:1" x14ac:dyDescent="0.3">
      <c r="A15" t="s">
        <v>14</v>
      </c>
    </row>
    <row r="16" spans="1:1" x14ac:dyDescent="0.3">
      <c r="A16" t="s">
        <v>15</v>
      </c>
    </row>
    <row r="17" spans="1:1" x14ac:dyDescent="0.3">
      <c r="A17" t="s">
        <v>16</v>
      </c>
    </row>
    <row r="18" spans="1:1" x14ac:dyDescent="0.3">
      <c r="A18" t="s">
        <v>17</v>
      </c>
    </row>
    <row r="19" spans="1:1" x14ac:dyDescent="0.3">
      <c r="A19" t="s">
        <v>18</v>
      </c>
    </row>
    <row r="20" spans="1:1" x14ac:dyDescent="0.3">
      <c r="A20" t="s">
        <v>19</v>
      </c>
    </row>
    <row r="21" spans="1:1" x14ac:dyDescent="0.3">
      <c r="A21" t="s">
        <v>20</v>
      </c>
    </row>
    <row r="22" spans="1:1" x14ac:dyDescent="0.3">
      <c r="A22" t="s">
        <v>21</v>
      </c>
    </row>
    <row r="23" spans="1:1" x14ac:dyDescent="0.3">
      <c r="A23" t="s">
        <v>22</v>
      </c>
    </row>
    <row r="24" spans="1:1" x14ac:dyDescent="0.3">
      <c r="A24" t="s">
        <v>23</v>
      </c>
    </row>
    <row r="25" spans="1:1" x14ac:dyDescent="0.3">
      <c r="A25" t="s">
        <v>24</v>
      </c>
    </row>
    <row r="26" spans="1:1" x14ac:dyDescent="0.3">
      <c r="A26" t="s">
        <v>25</v>
      </c>
    </row>
    <row r="27" spans="1:1" x14ac:dyDescent="0.3">
      <c r="A27" t="s">
        <v>26</v>
      </c>
    </row>
    <row r="28" spans="1:1" x14ac:dyDescent="0.3">
      <c r="A28" t="s">
        <v>27</v>
      </c>
    </row>
    <row r="29" spans="1:1" x14ac:dyDescent="0.3">
      <c r="A29" t="s">
        <v>28</v>
      </c>
    </row>
    <row r="30" spans="1:1" x14ac:dyDescent="0.3">
      <c r="A30" t="s">
        <v>29</v>
      </c>
    </row>
    <row r="31" spans="1:1" x14ac:dyDescent="0.3">
      <c r="A31" t="s">
        <v>30</v>
      </c>
    </row>
    <row r="32" spans="1:1" x14ac:dyDescent="0.3">
      <c r="A32" t="s">
        <v>31</v>
      </c>
    </row>
    <row r="33" spans="1:1" x14ac:dyDescent="0.3">
      <c r="A33" t="s">
        <v>32</v>
      </c>
    </row>
    <row r="34" spans="1:1" x14ac:dyDescent="0.3">
      <c r="A34" t="s">
        <v>33</v>
      </c>
    </row>
    <row r="35" spans="1:1" x14ac:dyDescent="0.3">
      <c r="A35" t="s">
        <v>34</v>
      </c>
    </row>
    <row r="36" spans="1:1" x14ac:dyDescent="0.3">
      <c r="A36" t="s">
        <v>35</v>
      </c>
    </row>
    <row r="37" spans="1:1" x14ac:dyDescent="0.3">
      <c r="A37" t="s">
        <v>36</v>
      </c>
    </row>
    <row r="38" spans="1:1" x14ac:dyDescent="0.3">
      <c r="A38" t="s">
        <v>37</v>
      </c>
    </row>
    <row r="39" spans="1:1" x14ac:dyDescent="0.3">
      <c r="A39" t="s">
        <v>38</v>
      </c>
    </row>
    <row r="40" spans="1:1" x14ac:dyDescent="0.3">
      <c r="A40" t="s">
        <v>39</v>
      </c>
    </row>
    <row r="41" spans="1:1" x14ac:dyDescent="0.3">
      <c r="A41" t="s">
        <v>40</v>
      </c>
    </row>
    <row r="42" spans="1:1" x14ac:dyDescent="0.3">
      <c r="A42" t="s">
        <v>41</v>
      </c>
    </row>
    <row r="43" spans="1:1" x14ac:dyDescent="0.3">
      <c r="A43" t="s">
        <v>42</v>
      </c>
    </row>
    <row r="44" spans="1:1" x14ac:dyDescent="0.3">
      <c r="A44" t="s">
        <v>43</v>
      </c>
    </row>
    <row r="45" spans="1:1" x14ac:dyDescent="0.3">
      <c r="A45" t="s">
        <v>44</v>
      </c>
    </row>
    <row r="46" spans="1:1" x14ac:dyDescent="0.3">
      <c r="A46" t="s">
        <v>45</v>
      </c>
    </row>
    <row r="47" spans="1:1" x14ac:dyDescent="0.3">
      <c r="A47" t="s">
        <v>46</v>
      </c>
    </row>
    <row r="48" spans="1:1" x14ac:dyDescent="0.3">
      <c r="A48" t="s">
        <v>47</v>
      </c>
    </row>
    <row r="49" spans="1:1" x14ac:dyDescent="0.3">
      <c r="A49" t="s">
        <v>48</v>
      </c>
    </row>
    <row r="50" spans="1:1" x14ac:dyDescent="0.3">
      <c r="A50" t="s">
        <v>49</v>
      </c>
    </row>
    <row r="51" spans="1:1" x14ac:dyDescent="0.3">
      <c r="A51" t="s">
        <v>50</v>
      </c>
    </row>
    <row r="52" spans="1:1" x14ac:dyDescent="0.3">
      <c r="A52" t="s">
        <v>51</v>
      </c>
    </row>
    <row r="53" spans="1:1" x14ac:dyDescent="0.3">
      <c r="A53" t="s">
        <v>52</v>
      </c>
    </row>
    <row r="54" spans="1:1" x14ac:dyDescent="0.3">
      <c r="A54" t="s">
        <v>53</v>
      </c>
    </row>
    <row r="55" spans="1:1" x14ac:dyDescent="0.3">
      <c r="A55" t="s">
        <v>54</v>
      </c>
    </row>
    <row r="56" spans="1:1" x14ac:dyDescent="0.3">
      <c r="A56" t="s">
        <v>55</v>
      </c>
    </row>
    <row r="57" spans="1:1" x14ac:dyDescent="0.3">
      <c r="A57" t="s">
        <v>56</v>
      </c>
    </row>
    <row r="58" spans="1:1" x14ac:dyDescent="0.3">
      <c r="A58" t="s">
        <v>57</v>
      </c>
    </row>
    <row r="59" spans="1:1" x14ac:dyDescent="0.3">
      <c r="A59" t="s">
        <v>58</v>
      </c>
    </row>
    <row r="60" spans="1:1" x14ac:dyDescent="0.3">
      <c r="A60" t="s">
        <v>59</v>
      </c>
    </row>
    <row r="61" spans="1:1" x14ac:dyDescent="0.3">
      <c r="A61" t="s">
        <v>60</v>
      </c>
    </row>
    <row r="62" spans="1:1" x14ac:dyDescent="0.3">
      <c r="A62" t="s">
        <v>61</v>
      </c>
    </row>
    <row r="63" spans="1:1" x14ac:dyDescent="0.3">
      <c r="A63" t="s">
        <v>62</v>
      </c>
    </row>
    <row r="64" spans="1:1" x14ac:dyDescent="0.3">
      <c r="A64" t="s">
        <v>63</v>
      </c>
    </row>
    <row r="65" spans="1:1" x14ac:dyDescent="0.3">
      <c r="A65" t="s">
        <v>64</v>
      </c>
    </row>
    <row r="66" spans="1:1" x14ac:dyDescent="0.3">
      <c r="A66" t="s">
        <v>65</v>
      </c>
    </row>
    <row r="67" spans="1:1" x14ac:dyDescent="0.3">
      <c r="A67" t="s">
        <v>66</v>
      </c>
    </row>
    <row r="68" spans="1:1" x14ac:dyDescent="0.3">
      <c r="A68" t="s">
        <v>67</v>
      </c>
    </row>
    <row r="69" spans="1:1" x14ac:dyDescent="0.3">
      <c r="A69" t="s">
        <v>68</v>
      </c>
    </row>
    <row r="70" spans="1:1" x14ac:dyDescent="0.3">
      <c r="A70" t="s">
        <v>69</v>
      </c>
    </row>
    <row r="71" spans="1:1" x14ac:dyDescent="0.3">
      <c r="A71" t="s">
        <v>70</v>
      </c>
    </row>
    <row r="72" spans="1:1" x14ac:dyDescent="0.3">
      <c r="A72" t="s">
        <v>71</v>
      </c>
    </row>
    <row r="73" spans="1:1" x14ac:dyDescent="0.3">
      <c r="A73" t="s">
        <v>72</v>
      </c>
    </row>
    <row r="74" spans="1:1" x14ac:dyDescent="0.3">
      <c r="A74" t="s">
        <v>73</v>
      </c>
    </row>
    <row r="75" spans="1:1" x14ac:dyDescent="0.3">
      <c r="A75" t="s">
        <v>74</v>
      </c>
    </row>
    <row r="76" spans="1:1" x14ac:dyDescent="0.3">
      <c r="A76" t="s">
        <v>75</v>
      </c>
    </row>
    <row r="77" spans="1:1" x14ac:dyDescent="0.3">
      <c r="A77" t="s">
        <v>76</v>
      </c>
    </row>
    <row r="78" spans="1:1" x14ac:dyDescent="0.3">
      <c r="A78" t="s">
        <v>77</v>
      </c>
    </row>
    <row r="79" spans="1:1" x14ac:dyDescent="0.3">
      <c r="A79" t="s">
        <v>78</v>
      </c>
    </row>
    <row r="80" spans="1:1" x14ac:dyDescent="0.3">
      <c r="A80" t="s">
        <v>79</v>
      </c>
    </row>
    <row r="81" spans="1:1" x14ac:dyDescent="0.3">
      <c r="A81" t="s">
        <v>80</v>
      </c>
    </row>
    <row r="82" spans="1:1" x14ac:dyDescent="0.3">
      <c r="A82" t="s">
        <v>81</v>
      </c>
    </row>
    <row r="83" spans="1:1" x14ac:dyDescent="0.3">
      <c r="A83" t="s">
        <v>82</v>
      </c>
    </row>
    <row r="84" spans="1:1" x14ac:dyDescent="0.3">
      <c r="A84" t="s">
        <v>83</v>
      </c>
    </row>
    <row r="85" spans="1:1" x14ac:dyDescent="0.3">
      <c r="A85" t="s">
        <v>84</v>
      </c>
    </row>
    <row r="86" spans="1:1" x14ac:dyDescent="0.3">
      <c r="A86" t="s">
        <v>85</v>
      </c>
    </row>
    <row r="87" spans="1:1" x14ac:dyDescent="0.3">
      <c r="A87" t="s">
        <v>86</v>
      </c>
    </row>
    <row r="88" spans="1:1" x14ac:dyDescent="0.3">
      <c r="A88" t="s">
        <v>87</v>
      </c>
    </row>
    <row r="89" spans="1:1" x14ac:dyDescent="0.3">
      <c r="A89" t="s">
        <v>88</v>
      </c>
    </row>
    <row r="90" spans="1:1" x14ac:dyDescent="0.3">
      <c r="A90" t="s">
        <v>89</v>
      </c>
    </row>
    <row r="91" spans="1:1" x14ac:dyDescent="0.3">
      <c r="A91" t="s">
        <v>90</v>
      </c>
    </row>
    <row r="92" spans="1:1" x14ac:dyDescent="0.3">
      <c r="A92" t="s">
        <v>91</v>
      </c>
    </row>
    <row r="93" spans="1:1" x14ac:dyDescent="0.3">
      <c r="A93" t="s">
        <v>92</v>
      </c>
    </row>
    <row r="94" spans="1:1" x14ac:dyDescent="0.3">
      <c r="A94" t="s">
        <v>93</v>
      </c>
    </row>
    <row r="95" spans="1:1" x14ac:dyDescent="0.3">
      <c r="A95" t="s">
        <v>94</v>
      </c>
    </row>
    <row r="96" spans="1:1" x14ac:dyDescent="0.3">
      <c r="A96" t="s">
        <v>95</v>
      </c>
    </row>
    <row r="97" spans="1:1" x14ac:dyDescent="0.3">
      <c r="A97" t="s">
        <v>96</v>
      </c>
    </row>
    <row r="98" spans="1:1" x14ac:dyDescent="0.3">
      <c r="A98" t="s">
        <v>97</v>
      </c>
    </row>
    <row r="99" spans="1:1" x14ac:dyDescent="0.3">
      <c r="A99" t="s">
        <v>98</v>
      </c>
    </row>
    <row r="100" spans="1:1" x14ac:dyDescent="0.3">
      <c r="A100" t="s">
        <v>99</v>
      </c>
    </row>
    <row r="101" spans="1:1" x14ac:dyDescent="0.3">
      <c r="A101" t="s">
        <v>100</v>
      </c>
    </row>
    <row r="102" spans="1:1" x14ac:dyDescent="0.3">
      <c r="A102" t="s">
        <v>101</v>
      </c>
    </row>
    <row r="103" spans="1:1" x14ac:dyDescent="0.3">
      <c r="A103" t="s">
        <v>102</v>
      </c>
    </row>
    <row r="104" spans="1:1" x14ac:dyDescent="0.3">
      <c r="A104" t="s">
        <v>103</v>
      </c>
    </row>
    <row r="105" spans="1:1" x14ac:dyDescent="0.3">
      <c r="A105" t="s">
        <v>104</v>
      </c>
    </row>
    <row r="106" spans="1:1" x14ac:dyDescent="0.3">
      <c r="A106" t="s">
        <v>105</v>
      </c>
    </row>
    <row r="107" spans="1:1" x14ac:dyDescent="0.3">
      <c r="A107" t="s">
        <v>106</v>
      </c>
    </row>
    <row r="108" spans="1:1" x14ac:dyDescent="0.3">
      <c r="A108" t="s">
        <v>107</v>
      </c>
    </row>
    <row r="109" spans="1:1" x14ac:dyDescent="0.3">
      <c r="A109" t="s">
        <v>108</v>
      </c>
    </row>
    <row r="110" spans="1:1" x14ac:dyDescent="0.3">
      <c r="A110" t="s">
        <v>109</v>
      </c>
    </row>
    <row r="111" spans="1:1" x14ac:dyDescent="0.3">
      <c r="A111" t="s">
        <v>110</v>
      </c>
    </row>
    <row r="112" spans="1:1" x14ac:dyDescent="0.3">
      <c r="A112" t="s">
        <v>111</v>
      </c>
    </row>
    <row r="113" spans="1:1" x14ac:dyDescent="0.3">
      <c r="A113" t="s">
        <v>112</v>
      </c>
    </row>
    <row r="114" spans="1:1" x14ac:dyDescent="0.3">
      <c r="A114" t="s">
        <v>113</v>
      </c>
    </row>
    <row r="115" spans="1:1" x14ac:dyDescent="0.3">
      <c r="A115" t="s">
        <v>114</v>
      </c>
    </row>
    <row r="116" spans="1:1" x14ac:dyDescent="0.3">
      <c r="A116" t="s">
        <v>115</v>
      </c>
    </row>
    <row r="117" spans="1:1" x14ac:dyDescent="0.3">
      <c r="A117" t="s">
        <v>116</v>
      </c>
    </row>
    <row r="118" spans="1:1" x14ac:dyDescent="0.3">
      <c r="A118" t="s">
        <v>117</v>
      </c>
    </row>
    <row r="119" spans="1:1" x14ac:dyDescent="0.3">
      <c r="A119" t="s">
        <v>118</v>
      </c>
    </row>
    <row r="120" spans="1:1" x14ac:dyDescent="0.3">
      <c r="A120" t="s">
        <v>119</v>
      </c>
    </row>
    <row r="121" spans="1:1" x14ac:dyDescent="0.3">
      <c r="A121" t="s">
        <v>120</v>
      </c>
    </row>
    <row r="122" spans="1:1" x14ac:dyDescent="0.3">
      <c r="A122" t="s">
        <v>121</v>
      </c>
    </row>
    <row r="123" spans="1:1" x14ac:dyDescent="0.3">
      <c r="A123" t="s">
        <v>122</v>
      </c>
    </row>
    <row r="124" spans="1:1" x14ac:dyDescent="0.3">
      <c r="A124" t="s">
        <v>123</v>
      </c>
    </row>
    <row r="125" spans="1:1" x14ac:dyDescent="0.3">
      <c r="A125" t="s">
        <v>124</v>
      </c>
    </row>
    <row r="126" spans="1:1" x14ac:dyDescent="0.3">
      <c r="A126" t="s">
        <v>125</v>
      </c>
    </row>
    <row r="127" spans="1:1" x14ac:dyDescent="0.3">
      <c r="A127" t="s">
        <v>126</v>
      </c>
    </row>
    <row r="128" spans="1:1" x14ac:dyDescent="0.3">
      <c r="A128" t="s">
        <v>127</v>
      </c>
    </row>
    <row r="129" spans="1:1" x14ac:dyDescent="0.3">
      <c r="A129" t="s">
        <v>128</v>
      </c>
    </row>
    <row r="130" spans="1:1" x14ac:dyDescent="0.3">
      <c r="A130" t="s">
        <v>129</v>
      </c>
    </row>
    <row r="131" spans="1:1" x14ac:dyDescent="0.3">
      <c r="A131" t="s">
        <v>130</v>
      </c>
    </row>
    <row r="132" spans="1:1" x14ac:dyDescent="0.3">
      <c r="A132" t="s">
        <v>131</v>
      </c>
    </row>
    <row r="133" spans="1:1" x14ac:dyDescent="0.3">
      <c r="A133" t="s">
        <v>132</v>
      </c>
    </row>
    <row r="134" spans="1:1" x14ac:dyDescent="0.3">
      <c r="A134" t="s">
        <v>133</v>
      </c>
    </row>
    <row r="135" spans="1:1" x14ac:dyDescent="0.3">
      <c r="A135" t="s">
        <v>134</v>
      </c>
    </row>
    <row r="136" spans="1:1" x14ac:dyDescent="0.3">
      <c r="A136" t="s">
        <v>135</v>
      </c>
    </row>
    <row r="137" spans="1:1" x14ac:dyDescent="0.3">
      <c r="A137" t="s">
        <v>136</v>
      </c>
    </row>
    <row r="138" spans="1:1" x14ac:dyDescent="0.3">
      <c r="A138" t="s">
        <v>137</v>
      </c>
    </row>
    <row r="139" spans="1:1" x14ac:dyDescent="0.3">
      <c r="A139" t="s">
        <v>138</v>
      </c>
    </row>
    <row r="140" spans="1:1" x14ac:dyDescent="0.3">
      <c r="A140" t="s">
        <v>139</v>
      </c>
    </row>
    <row r="141" spans="1:1" x14ac:dyDescent="0.3">
      <c r="A141" t="s">
        <v>140</v>
      </c>
    </row>
    <row r="142" spans="1:1" x14ac:dyDescent="0.3">
      <c r="A142" t="s">
        <v>141</v>
      </c>
    </row>
    <row r="143" spans="1:1" x14ac:dyDescent="0.3">
      <c r="A143" t="s">
        <v>142</v>
      </c>
    </row>
    <row r="144" spans="1:1" x14ac:dyDescent="0.3">
      <c r="A144" t="s">
        <v>143</v>
      </c>
    </row>
    <row r="145" spans="1:1" x14ac:dyDescent="0.3">
      <c r="A145" t="s">
        <v>144</v>
      </c>
    </row>
    <row r="146" spans="1:1" x14ac:dyDescent="0.3">
      <c r="A146" t="s">
        <v>145</v>
      </c>
    </row>
    <row r="147" spans="1:1" x14ac:dyDescent="0.3">
      <c r="A147" t="s">
        <v>146</v>
      </c>
    </row>
    <row r="148" spans="1:1" x14ac:dyDescent="0.3">
      <c r="A148" t="s">
        <v>147</v>
      </c>
    </row>
    <row r="149" spans="1:1" x14ac:dyDescent="0.3">
      <c r="A149" t="s">
        <v>148</v>
      </c>
    </row>
    <row r="150" spans="1:1" x14ac:dyDescent="0.3">
      <c r="A150" t="s">
        <v>149</v>
      </c>
    </row>
    <row r="151" spans="1:1" x14ac:dyDescent="0.3">
      <c r="A151" t="s">
        <v>150</v>
      </c>
    </row>
    <row r="152" spans="1:1" x14ac:dyDescent="0.3">
      <c r="A152" t="s">
        <v>151</v>
      </c>
    </row>
    <row r="153" spans="1:1" x14ac:dyDescent="0.3">
      <c r="A153" t="s">
        <v>152</v>
      </c>
    </row>
    <row r="154" spans="1:1" x14ac:dyDescent="0.3">
      <c r="A154" t="s">
        <v>153</v>
      </c>
    </row>
    <row r="155" spans="1:1" x14ac:dyDescent="0.3">
      <c r="A155" t="s">
        <v>154</v>
      </c>
    </row>
    <row r="156" spans="1:1" x14ac:dyDescent="0.3">
      <c r="A156" t="s">
        <v>155</v>
      </c>
    </row>
    <row r="157" spans="1:1" x14ac:dyDescent="0.3">
      <c r="A157" t="s">
        <v>156</v>
      </c>
    </row>
    <row r="158" spans="1:1" x14ac:dyDescent="0.3">
      <c r="A158" t="s">
        <v>157</v>
      </c>
    </row>
    <row r="159" spans="1:1" x14ac:dyDescent="0.3">
      <c r="A159" t="s">
        <v>158</v>
      </c>
    </row>
    <row r="160" spans="1:1" x14ac:dyDescent="0.3">
      <c r="A160" t="s">
        <v>159</v>
      </c>
    </row>
    <row r="161" spans="1:1" x14ac:dyDescent="0.3">
      <c r="A161" t="s">
        <v>160</v>
      </c>
    </row>
    <row r="162" spans="1:1" x14ac:dyDescent="0.3">
      <c r="A162" t="s">
        <v>161</v>
      </c>
    </row>
    <row r="163" spans="1:1" x14ac:dyDescent="0.3">
      <c r="A163" t="s">
        <v>162</v>
      </c>
    </row>
    <row r="164" spans="1:1" x14ac:dyDescent="0.3">
      <c r="A164" t="s">
        <v>163</v>
      </c>
    </row>
    <row r="165" spans="1:1" x14ac:dyDescent="0.3">
      <c r="A165" t="s">
        <v>164</v>
      </c>
    </row>
    <row r="166" spans="1:1" x14ac:dyDescent="0.3">
      <c r="A166" t="s">
        <v>165</v>
      </c>
    </row>
    <row r="167" spans="1:1" x14ac:dyDescent="0.3">
      <c r="A167" t="s">
        <v>166</v>
      </c>
    </row>
    <row r="168" spans="1:1" x14ac:dyDescent="0.3">
      <c r="A168" t="s">
        <v>167</v>
      </c>
    </row>
    <row r="169" spans="1:1" x14ac:dyDescent="0.3">
      <c r="A169" t="s">
        <v>168</v>
      </c>
    </row>
    <row r="170" spans="1:1" x14ac:dyDescent="0.3">
      <c r="A170" t="s">
        <v>169</v>
      </c>
    </row>
    <row r="171" spans="1:1" x14ac:dyDescent="0.3">
      <c r="A171" t="s">
        <v>170</v>
      </c>
    </row>
    <row r="172" spans="1:1" x14ac:dyDescent="0.3">
      <c r="A172" t="s">
        <v>171</v>
      </c>
    </row>
    <row r="173" spans="1:1" x14ac:dyDescent="0.3">
      <c r="A173" t="s">
        <v>172</v>
      </c>
    </row>
    <row r="174" spans="1:1" x14ac:dyDescent="0.3">
      <c r="A174" t="s">
        <v>173</v>
      </c>
    </row>
    <row r="175" spans="1:1" x14ac:dyDescent="0.3">
      <c r="A175" t="s">
        <v>174</v>
      </c>
    </row>
    <row r="176" spans="1:1" x14ac:dyDescent="0.3">
      <c r="A176" t="s">
        <v>175</v>
      </c>
    </row>
    <row r="177" spans="1:1" x14ac:dyDescent="0.3">
      <c r="A177" t="s">
        <v>176</v>
      </c>
    </row>
    <row r="178" spans="1:1" x14ac:dyDescent="0.3">
      <c r="A178" t="s">
        <v>177</v>
      </c>
    </row>
    <row r="179" spans="1:1" x14ac:dyDescent="0.3">
      <c r="A179" t="s">
        <v>178</v>
      </c>
    </row>
    <row r="180" spans="1:1" x14ac:dyDescent="0.3">
      <c r="A180" t="s">
        <v>179</v>
      </c>
    </row>
    <row r="181" spans="1:1" x14ac:dyDescent="0.3">
      <c r="A181" t="s">
        <v>180</v>
      </c>
    </row>
    <row r="182" spans="1:1" x14ac:dyDescent="0.3">
      <c r="A182" t="s">
        <v>181</v>
      </c>
    </row>
    <row r="183" spans="1:1" x14ac:dyDescent="0.3">
      <c r="A183" t="s">
        <v>182</v>
      </c>
    </row>
    <row r="184" spans="1:1" x14ac:dyDescent="0.3">
      <c r="A184" t="s">
        <v>183</v>
      </c>
    </row>
    <row r="185" spans="1:1" x14ac:dyDescent="0.3">
      <c r="A185" t="s">
        <v>184</v>
      </c>
    </row>
    <row r="186" spans="1:1" x14ac:dyDescent="0.3">
      <c r="A186" t="s">
        <v>185</v>
      </c>
    </row>
    <row r="187" spans="1:1" x14ac:dyDescent="0.3">
      <c r="A187" t="s">
        <v>186</v>
      </c>
    </row>
    <row r="188" spans="1:1" x14ac:dyDescent="0.3">
      <c r="A188" t="s">
        <v>187</v>
      </c>
    </row>
    <row r="189" spans="1:1" x14ac:dyDescent="0.3">
      <c r="A189" t="s">
        <v>188</v>
      </c>
    </row>
    <row r="190" spans="1:1" x14ac:dyDescent="0.3">
      <c r="A190" t="s">
        <v>189</v>
      </c>
    </row>
    <row r="191" spans="1:1" x14ac:dyDescent="0.3">
      <c r="A191" t="s">
        <v>190</v>
      </c>
    </row>
    <row r="192" spans="1:1" x14ac:dyDescent="0.3">
      <c r="A192" t="s">
        <v>191</v>
      </c>
    </row>
    <row r="193" spans="1:1" x14ac:dyDescent="0.3">
      <c r="A193" t="s">
        <v>192</v>
      </c>
    </row>
    <row r="194" spans="1:1" x14ac:dyDescent="0.3">
      <c r="A194" t="s">
        <v>193</v>
      </c>
    </row>
    <row r="195" spans="1:1" x14ac:dyDescent="0.3">
      <c r="A195" t="s">
        <v>194</v>
      </c>
    </row>
    <row r="196" spans="1:1" x14ac:dyDescent="0.3">
      <c r="A196" t="s">
        <v>195</v>
      </c>
    </row>
    <row r="197" spans="1:1" x14ac:dyDescent="0.3">
      <c r="A197" t="s">
        <v>196</v>
      </c>
    </row>
    <row r="198" spans="1:1" x14ac:dyDescent="0.3">
      <c r="A198" t="s">
        <v>197</v>
      </c>
    </row>
    <row r="199" spans="1:1" x14ac:dyDescent="0.3">
      <c r="A199" t="s">
        <v>198</v>
      </c>
    </row>
    <row r="200" spans="1:1" x14ac:dyDescent="0.3">
      <c r="A200" t="s">
        <v>199</v>
      </c>
    </row>
    <row r="201" spans="1:1" x14ac:dyDescent="0.3">
      <c r="A201" t="s">
        <v>200</v>
      </c>
    </row>
    <row r="202" spans="1:1" x14ac:dyDescent="0.3">
      <c r="A202" t="s">
        <v>201</v>
      </c>
    </row>
    <row r="203" spans="1:1" x14ac:dyDescent="0.3">
      <c r="A203" t="s">
        <v>202</v>
      </c>
    </row>
    <row r="204" spans="1:1" x14ac:dyDescent="0.3">
      <c r="A204" t="s">
        <v>203</v>
      </c>
    </row>
    <row r="205" spans="1:1" x14ac:dyDescent="0.3">
      <c r="A205" t="s">
        <v>204</v>
      </c>
    </row>
    <row r="206" spans="1:1" x14ac:dyDescent="0.3">
      <c r="A206" t="s">
        <v>205</v>
      </c>
    </row>
    <row r="207" spans="1:1" x14ac:dyDescent="0.3">
      <c r="A207" t="s">
        <v>206</v>
      </c>
    </row>
    <row r="208" spans="1:1" x14ac:dyDescent="0.3">
      <c r="A208" t="s">
        <v>207</v>
      </c>
    </row>
    <row r="209" spans="1:1" x14ac:dyDescent="0.3">
      <c r="A209" t="s">
        <v>208</v>
      </c>
    </row>
    <row r="210" spans="1:1" x14ac:dyDescent="0.3">
      <c r="A210" t="s">
        <v>209</v>
      </c>
    </row>
    <row r="211" spans="1:1" x14ac:dyDescent="0.3">
      <c r="A211" t="s">
        <v>210</v>
      </c>
    </row>
    <row r="212" spans="1:1" x14ac:dyDescent="0.3">
      <c r="A212" t="s">
        <v>211</v>
      </c>
    </row>
    <row r="213" spans="1:1" x14ac:dyDescent="0.3">
      <c r="A213" t="s">
        <v>212</v>
      </c>
    </row>
    <row r="214" spans="1:1" x14ac:dyDescent="0.3">
      <c r="A214" t="s">
        <v>213</v>
      </c>
    </row>
    <row r="215" spans="1:1" x14ac:dyDescent="0.3">
      <c r="A215" t="s">
        <v>214</v>
      </c>
    </row>
    <row r="216" spans="1:1" x14ac:dyDescent="0.3">
      <c r="A216" t="s">
        <v>215</v>
      </c>
    </row>
    <row r="217" spans="1:1" x14ac:dyDescent="0.3">
      <c r="A217" t="s">
        <v>216</v>
      </c>
    </row>
    <row r="218" spans="1:1" x14ac:dyDescent="0.3">
      <c r="A218" t="s">
        <v>217</v>
      </c>
    </row>
    <row r="219" spans="1:1" x14ac:dyDescent="0.3">
      <c r="A219" t="s">
        <v>218</v>
      </c>
    </row>
    <row r="220" spans="1:1" x14ac:dyDescent="0.3">
      <c r="A220" t="s">
        <v>219</v>
      </c>
    </row>
    <row r="221" spans="1:1" x14ac:dyDescent="0.3">
      <c r="A221" t="s">
        <v>220</v>
      </c>
    </row>
    <row r="222" spans="1:1" x14ac:dyDescent="0.3">
      <c r="A222" t="s">
        <v>221</v>
      </c>
    </row>
    <row r="223" spans="1:1" x14ac:dyDescent="0.3">
      <c r="A223" t="s">
        <v>222</v>
      </c>
    </row>
    <row r="224" spans="1:1" x14ac:dyDescent="0.3">
      <c r="A224" t="s">
        <v>223</v>
      </c>
    </row>
    <row r="225" spans="1:1" x14ac:dyDescent="0.3">
      <c r="A225" t="s">
        <v>224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3D5B1-FCFF-47E8-8375-792112AF5E69}">
  <dimension ref="B3:H18"/>
  <sheetViews>
    <sheetView workbookViewId="0">
      <selection activeCell="E21" sqref="E21"/>
    </sheetView>
  </sheetViews>
  <sheetFormatPr defaultRowHeight="14.4" x14ac:dyDescent="0.3"/>
  <sheetData>
    <row r="3" spans="2:8" ht="43.2" x14ac:dyDescent="0.3">
      <c r="B3" s="1" t="s">
        <v>226</v>
      </c>
      <c r="C3" s="1" t="s">
        <v>227</v>
      </c>
      <c r="D3" s="1" t="s">
        <v>228</v>
      </c>
      <c r="E3" s="2" t="s">
        <v>229</v>
      </c>
      <c r="F3" s="2" t="s">
        <v>230</v>
      </c>
      <c r="G3" s="2" t="s">
        <v>231</v>
      </c>
      <c r="H3" s="2" t="s">
        <v>232</v>
      </c>
    </row>
    <row r="4" spans="2:8" ht="13.8" customHeight="1" x14ac:dyDescent="0.3">
      <c r="B4" t="s">
        <v>233</v>
      </c>
      <c r="C4" t="s">
        <v>234</v>
      </c>
      <c r="D4">
        <v>170.91805171966553</v>
      </c>
      <c r="E4">
        <v>151.00171136856079</v>
      </c>
      <c r="F4">
        <v>148.57201703389487</v>
      </c>
      <c r="G4" s="3">
        <v>95.718070983886719</v>
      </c>
      <c r="H4">
        <v>119.08846839269002</v>
      </c>
    </row>
    <row r="5" spans="2:8" ht="13.8" customHeight="1" x14ac:dyDescent="0.3">
      <c r="B5" t="s">
        <v>233</v>
      </c>
      <c r="C5" t="s">
        <v>235</v>
      </c>
      <c r="D5">
        <v>148.25936102867126</v>
      </c>
      <c r="E5">
        <v>144.84410587946573</v>
      </c>
      <c r="F5">
        <v>143.17060486475626</v>
      </c>
      <c r="G5" s="3">
        <v>123.2676526705424</v>
      </c>
      <c r="H5">
        <v>139.16236877441406</v>
      </c>
    </row>
    <row r="6" spans="2:8" x14ac:dyDescent="0.3">
      <c r="B6" t="s">
        <v>233</v>
      </c>
      <c r="C6" t="s">
        <v>236</v>
      </c>
      <c r="D6">
        <v>142.68760530153909</v>
      </c>
      <c r="E6" s="4">
        <v>176.08900475502014</v>
      </c>
      <c r="F6">
        <v>205.80179603894553</v>
      </c>
      <c r="G6">
        <v>186.46662529309592</v>
      </c>
      <c r="H6" s="3">
        <v>141.41739320755005</v>
      </c>
    </row>
    <row r="7" spans="2:8" ht="13.8" customHeight="1" x14ac:dyDescent="0.3">
      <c r="B7" t="s">
        <v>237</v>
      </c>
      <c r="C7" t="s">
        <v>238</v>
      </c>
      <c r="D7">
        <v>109.06736858685811</v>
      </c>
      <c r="E7">
        <v>110.75513259569804</v>
      </c>
      <c r="F7">
        <v>146.14938203493753</v>
      </c>
      <c r="G7" s="3">
        <v>72.819236914316818</v>
      </c>
      <c r="H7">
        <v>103.00351492563884</v>
      </c>
    </row>
    <row r="8" spans="2:8" ht="13.8" customHeight="1" x14ac:dyDescent="0.3">
      <c r="B8" t="s">
        <v>237</v>
      </c>
      <c r="C8" t="s">
        <v>239</v>
      </c>
      <c r="D8">
        <v>148.3595195611318</v>
      </c>
      <c r="E8">
        <v>150.6029289563497</v>
      </c>
      <c r="F8" s="3">
        <v>107.86858606338501</v>
      </c>
      <c r="G8">
        <v>109.24647259712219</v>
      </c>
      <c r="H8">
        <v>104.8472551504771</v>
      </c>
    </row>
    <row r="9" spans="2:8" x14ac:dyDescent="0.3">
      <c r="B9" t="s">
        <v>237</v>
      </c>
      <c r="C9" t="s">
        <v>240</v>
      </c>
      <c r="D9">
        <v>192.6276938120524</v>
      </c>
      <c r="E9">
        <v>141.79750029246011</v>
      </c>
      <c r="F9">
        <v>137.35931777954102</v>
      </c>
      <c r="G9" s="3">
        <v>124.58238204320271</v>
      </c>
      <c r="H9">
        <v>175.20592737197876</v>
      </c>
    </row>
    <row r="10" spans="2:8" ht="13.8" customHeight="1" x14ac:dyDescent="0.3">
      <c r="B10" t="s">
        <v>241</v>
      </c>
      <c r="C10" t="s">
        <v>242</v>
      </c>
      <c r="D10">
        <v>123.64067498842876</v>
      </c>
      <c r="E10">
        <v>139.10487262407938</v>
      </c>
      <c r="F10">
        <v>165.22990671793619</v>
      </c>
      <c r="G10" s="3">
        <v>111.88138008117676</v>
      </c>
      <c r="H10">
        <v>125.68763732910156</v>
      </c>
    </row>
    <row r="11" spans="2:8" ht="13.8" customHeight="1" x14ac:dyDescent="0.3">
      <c r="B11" t="s">
        <v>241</v>
      </c>
      <c r="C11" t="s">
        <v>243</v>
      </c>
      <c r="D11">
        <v>124.58775194485982</v>
      </c>
      <c r="E11">
        <v>155.71653143564859</v>
      </c>
      <c r="F11">
        <v>102.60637736320496</v>
      </c>
      <c r="G11" s="3">
        <v>83.689436753590897</v>
      </c>
      <c r="H11">
        <v>99.306018193562821</v>
      </c>
    </row>
    <row r="12" spans="2:8" x14ac:dyDescent="0.3">
      <c r="B12" t="s">
        <v>241</v>
      </c>
      <c r="C12" t="s">
        <v>244</v>
      </c>
      <c r="D12">
        <v>136.52221020062765</v>
      </c>
      <c r="E12">
        <v>125.97370767593384</v>
      </c>
      <c r="F12" s="3">
        <v>102.65325975418091</v>
      </c>
      <c r="G12">
        <v>152.3797664642334</v>
      </c>
      <c r="H12">
        <v>135.20273518562317</v>
      </c>
    </row>
    <row r="13" spans="2:8" ht="13.8" customHeight="1" x14ac:dyDescent="0.3">
      <c r="B13" t="s">
        <v>245</v>
      </c>
      <c r="C13" t="s">
        <v>246</v>
      </c>
      <c r="D13">
        <v>108.34987847010295</v>
      </c>
      <c r="E13">
        <v>116.6325831413269</v>
      </c>
      <c r="F13">
        <v>105.83950845400493</v>
      </c>
      <c r="G13" s="4">
        <v>97.611652851104736</v>
      </c>
      <c r="H13" s="3">
        <v>75.034721533457443</v>
      </c>
    </row>
    <row r="14" spans="2:8" ht="13.8" customHeight="1" x14ac:dyDescent="0.3">
      <c r="B14" t="s">
        <v>245</v>
      </c>
      <c r="C14" t="s">
        <v>247</v>
      </c>
      <c r="D14">
        <v>136.25209267934164</v>
      </c>
      <c r="E14">
        <v>128.63457759221396</v>
      </c>
      <c r="F14">
        <v>127.68064959843953</v>
      </c>
      <c r="G14" s="3">
        <v>98.799193461736039</v>
      </c>
      <c r="H14">
        <v>102.55405934651692</v>
      </c>
    </row>
    <row r="15" spans="2:8" x14ac:dyDescent="0.3">
      <c r="B15" t="s">
        <v>245</v>
      </c>
      <c r="C15" t="s">
        <v>248</v>
      </c>
      <c r="D15">
        <v>114.79565143585205</v>
      </c>
      <c r="E15">
        <v>129.34375564257303</v>
      </c>
      <c r="F15">
        <v>119.43395185470581</v>
      </c>
      <c r="G15" s="3">
        <v>94.844130516052246</v>
      </c>
      <c r="H15">
        <v>92.25111325581868</v>
      </c>
    </row>
    <row r="16" spans="2:8" ht="13.8" customHeight="1" x14ac:dyDescent="0.3">
      <c r="B16" t="s">
        <v>249</v>
      </c>
      <c r="C16" t="s">
        <v>250</v>
      </c>
      <c r="D16">
        <v>104.44126033782959</v>
      </c>
      <c r="E16">
        <v>164.226522286733</v>
      </c>
      <c r="F16">
        <v>119.16938424110413</v>
      </c>
      <c r="G16" s="3">
        <v>81.420049905776978</v>
      </c>
      <c r="H16">
        <v>90.217111746470138</v>
      </c>
    </row>
    <row r="17" spans="2:8" x14ac:dyDescent="0.3">
      <c r="B17" t="s">
        <v>249</v>
      </c>
      <c r="C17" t="s">
        <v>251</v>
      </c>
      <c r="D17">
        <v>127.62721832593282</v>
      </c>
      <c r="E17">
        <v>116.88013927141826</v>
      </c>
      <c r="F17">
        <v>114.19349932670593</v>
      </c>
      <c r="G17" s="3">
        <v>89.528362989425659</v>
      </c>
      <c r="H17">
        <v>91.044711748758957</v>
      </c>
    </row>
    <row r="18" spans="2:8" x14ac:dyDescent="0.3">
      <c r="B18" t="s">
        <v>249</v>
      </c>
      <c r="C18" t="s">
        <v>252</v>
      </c>
      <c r="D18">
        <v>122.29444599151611</v>
      </c>
      <c r="E18">
        <v>138.9099511305491</v>
      </c>
      <c r="F18">
        <v>121.76424511273702</v>
      </c>
      <c r="G18" s="3">
        <v>113.46165617307027</v>
      </c>
      <c r="H18">
        <v>158.966388463974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9C1E6-CF74-4D2B-AC39-25840B8DF1E4}">
  <dimension ref="B3:G17"/>
  <sheetViews>
    <sheetView workbookViewId="0">
      <selection activeCell="G13" sqref="G13:G17"/>
    </sheetView>
  </sheetViews>
  <sheetFormatPr defaultRowHeight="14.4" x14ac:dyDescent="0.3"/>
  <cols>
    <col min="2" max="2" width="12.21875" bestFit="1" customWidth="1"/>
    <col min="4" max="4" width="11" customWidth="1"/>
    <col min="5" max="5" width="10.77734375" customWidth="1"/>
    <col min="6" max="6" width="11.33203125" customWidth="1"/>
    <col min="7" max="7" width="10.77734375" customWidth="1"/>
  </cols>
  <sheetData>
    <row r="3" spans="2:7" ht="43.2" x14ac:dyDescent="0.3">
      <c r="B3" s="1" t="s">
        <v>226</v>
      </c>
      <c r="C3" s="1" t="s">
        <v>228</v>
      </c>
      <c r="D3" s="2" t="s">
        <v>229</v>
      </c>
      <c r="E3" s="2" t="s">
        <v>230</v>
      </c>
      <c r="F3" s="2" t="s">
        <v>231</v>
      </c>
      <c r="G3" s="2" t="s">
        <v>232</v>
      </c>
    </row>
    <row r="4" spans="2:7" x14ac:dyDescent="0.3">
      <c r="B4" t="s">
        <v>233</v>
      </c>
      <c r="C4">
        <f>AVERAGE(Summary!D4:D6)</f>
        <v>153.95500601662528</v>
      </c>
      <c r="D4">
        <f>AVERAGE(Summary!E4:E6)</f>
        <v>157.31160733434888</v>
      </c>
      <c r="E4">
        <f>AVERAGE(Summary!F4:F6)</f>
        <v>165.84813931253223</v>
      </c>
      <c r="F4">
        <f>AVERAGE(Summary!G4:G6)</f>
        <v>135.15078298250833</v>
      </c>
      <c r="G4" s="3">
        <f>AVERAGE(Summary!H4:H6)</f>
        <v>133.22274345821805</v>
      </c>
    </row>
    <row r="5" spans="2:7" x14ac:dyDescent="0.3">
      <c r="B5" t="s">
        <v>237</v>
      </c>
      <c r="C5">
        <f>AVERAGE(Summary!D7:D9)</f>
        <v>150.01819398668079</v>
      </c>
      <c r="D5">
        <f>AVERAGE(Summary!E7:E9)</f>
        <v>134.3851872815026</v>
      </c>
      <c r="E5">
        <f>AVERAGE(Summary!F7:F9)</f>
        <v>130.45909529262119</v>
      </c>
      <c r="F5" s="3">
        <f>AVERAGE(Summary!G7:G9)</f>
        <v>102.21603051821391</v>
      </c>
      <c r="G5">
        <f>AVERAGE(Summary!H7:H9)</f>
        <v>127.68556581603157</v>
      </c>
    </row>
    <row r="6" spans="2:7" x14ac:dyDescent="0.3">
      <c r="B6" t="s">
        <v>241</v>
      </c>
      <c r="C6">
        <f>AVERAGE(Summary!D10:D12)</f>
        <v>128.25021237797208</v>
      </c>
      <c r="D6">
        <f>AVERAGE(Summary!E10:E12)</f>
        <v>140.26503724522061</v>
      </c>
      <c r="E6">
        <f>AVERAGE(Summary!F10:F12)</f>
        <v>123.496514611774</v>
      </c>
      <c r="F6" s="3">
        <f>AVERAGE(Summary!G10:G12)</f>
        <v>115.98352776633368</v>
      </c>
      <c r="G6">
        <f>AVERAGE(Summary!H10:H12)</f>
        <v>120.06546356942918</v>
      </c>
    </row>
    <row r="7" spans="2:7" x14ac:dyDescent="0.3">
      <c r="B7" t="s">
        <v>245</v>
      </c>
      <c r="C7">
        <f>AVERAGE(Summary!D13:D15)</f>
        <v>119.79920752843221</v>
      </c>
      <c r="D7">
        <f>AVERAGE(Summary!E13:E15)</f>
        <v>124.87030545870464</v>
      </c>
      <c r="E7">
        <f>AVERAGE(Summary!F13:F15)</f>
        <v>117.65136996905009</v>
      </c>
      <c r="F7">
        <f>AVERAGE(Summary!G13:G15)</f>
        <v>97.084992276297669</v>
      </c>
      <c r="G7" s="3">
        <f>AVERAGE(Summary!H13:H15)</f>
        <v>89.946631378597672</v>
      </c>
    </row>
    <row r="8" spans="2:7" x14ac:dyDescent="0.3">
      <c r="B8" t="s">
        <v>249</v>
      </c>
      <c r="C8">
        <f>AVERAGE(Summary!D16:D18)</f>
        <v>118.12097488509283</v>
      </c>
      <c r="D8">
        <f>AVERAGE(Summary!E16:E18)</f>
        <v>140.00553756290012</v>
      </c>
      <c r="E8">
        <f>AVERAGE(Summary!F16:F18)</f>
        <v>118.37570956018236</v>
      </c>
      <c r="F8" s="3">
        <f>AVERAGE(Summary!G16:G18)</f>
        <v>94.803356356090958</v>
      </c>
      <c r="G8">
        <f>AVERAGE(Summary!H16:H18)</f>
        <v>113.40940398640105</v>
      </c>
    </row>
    <row r="11" spans="2:7" x14ac:dyDescent="0.3">
      <c r="B11">
        <v>1000</v>
      </c>
    </row>
    <row r="13" spans="2:7" x14ac:dyDescent="0.3">
      <c r="C13">
        <f>C8/B11*100</f>
        <v>11.812097488509284</v>
      </c>
      <c r="D13">
        <f>D8/B11*100</f>
        <v>14.000553756290014</v>
      </c>
      <c r="E13">
        <f>E8/B11*100</f>
        <v>11.837570956018235</v>
      </c>
      <c r="F13">
        <f>F8/B11*100</f>
        <v>9.4803356356090962</v>
      </c>
      <c r="G13">
        <f>G8/B11*100</f>
        <v>11.340940398640106</v>
      </c>
    </row>
    <row r="14" spans="2:7" x14ac:dyDescent="0.3">
      <c r="C14">
        <f>C7/B11*100</f>
        <v>11.979920752843221</v>
      </c>
      <c r="D14">
        <f>D7/B11*100</f>
        <v>12.487030545870462</v>
      </c>
      <c r="E14">
        <f>E7/B11*100</f>
        <v>11.76513699690501</v>
      </c>
      <c r="F14">
        <f>F7/B11*100</f>
        <v>9.7084992276297672</v>
      </c>
      <c r="G14">
        <f>G7/B11*100</f>
        <v>8.9946631378597672</v>
      </c>
    </row>
    <row r="15" spans="2:7" x14ac:dyDescent="0.3">
      <c r="C15">
        <f>C6/B11*100</f>
        <v>12.825021237797207</v>
      </c>
      <c r="D15">
        <f>D6/B11*100</f>
        <v>14.02650372452206</v>
      </c>
      <c r="E15">
        <f>E6/B11*100</f>
        <v>12.3496514611774</v>
      </c>
      <c r="F15">
        <f>F6/B11*100</f>
        <v>11.598352776633368</v>
      </c>
      <c r="G15">
        <f>G6/B11*100</f>
        <v>12.006546356942918</v>
      </c>
    </row>
    <row r="16" spans="2:7" x14ac:dyDescent="0.3">
      <c r="C16">
        <f>C5/B11*100</f>
        <v>15.001819398668079</v>
      </c>
      <c r="D16">
        <f>D5/B11*100</f>
        <v>13.438518728150258</v>
      </c>
      <c r="E16">
        <f>E5/B11*100</f>
        <v>13.045909529262117</v>
      </c>
      <c r="F16">
        <f>F5/B11*100</f>
        <v>10.221603051821392</v>
      </c>
      <c r="G16">
        <f>G5/B11*100</f>
        <v>12.768556581603157</v>
      </c>
    </row>
    <row r="17" spans="3:7" x14ac:dyDescent="0.3">
      <c r="C17">
        <f>C4/B11*100</f>
        <v>15.39550060166253</v>
      </c>
      <c r="D17">
        <f>D4/B11*100</f>
        <v>15.731160733434887</v>
      </c>
      <c r="E17">
        <f>E4/B11*100</f>
        <v>16.584813931253223</v>
      </c>
      <c r="F17">
        <f>F4/B11*100</f>
        <v>13.515078298250833</v>
      </c>
      <c r="G17">
        <f>G4/B11*100</f>
        <v>13.322274345821805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24575-4FB4-4B75-A69A-801B711D5172}">
  <sheetPr codeName="Sheet2"/>
  <dimension ref="B2:H33"/>
  <sheetViews>
    <sheetView topLeftCell="A2" workbookViewId="0">
      <selection activeCell="D34" sqref="D34"/>
    </sheetView>
  </sheetViews>
  <sheetFormatPr defaultRowHeight="14.4" x14ac:dyDescent="0.3"/>
  <cols>
    <col min="2" max="2" width="12.21875" bestFit="1" customWidth="1"/>
    <col min="3" max="3" width="13.5546875" bestFit="1" customWidth="1"/>
    <col min="4" max="8" width="12" bestFit="1" customWidth="1"/>
  </cols>
  <sheetData>
    <row r="2" spans="2:8" x14ac:dyDescent="0.3">
      <c r="D2" s="5" t="s">
        <v>225</v>
      </c>
      <c r="E2" s="6"/>
      <c r="F2" s="6"/>
      <c r="G2" s="6"/>
      <c r="H2" s="7"/>
    </row>
    <row r="3" spans="2:8" ht="43.2" x14ac:dyDescent="0.3">
      <c r="B3" s="1" t="s">
        <v>226</v>
      </c>
      <c r="C3" s="1" t="s">
        <v>227</v>
      </c>
      <c r="D3" s="1" t="s">
        <v>228</v>
      </c>
      <c r="E3" s="2" t="s">
        <v>229</v>
      </c>
      <c r="F3" s="2" t="s">
        <v>230</v>
      </c>
      <c r="G3" s="2" t="s">
        <v>231</v>
      </c>
      <c r="H3" s="2" t="s">
        <v>232</v>
      </c>
    </row>
    <row r="4" spans="2:8" x14ac:dyDescent="0.3">
      <c r="B4" t="s">
        <v>233</v>
      </c>
      <c r="C4" t="s">
        <v>234</v>
      </c>
      <c r="D4">
        <v>170.91805171966553</v>
      </c>
      <c r="E4">
        <v>151.00171136856079</v>
      </c>
      <c r="F4">
        <v>148.57201703389487</v>
      </c>
      <c r="G4" s="3">
        <v>95.718070983886719</v>
      </c>
      <c r="H4">
        <v>119.08846839269002</v>
      </c>
    </row>
    <row r="5" spans="2:8" hidden="1" x14ac:dyDescent="0.3">
      <c r="B5" t="s">
        <v>233</v>
      </c>
      <c r="C5" t="s">
        <v>235</v>
      </c>
      <c r="D5">
        <v>148.25936102867126</v>
      </c>
      <c r="E5">
        <v>144.84410587946573</v>
      </c>
      <c r="F5">
        <v>143.17060486475626</v>
      </c>
      <c r="G5" s="3">
        <v>123.2676526705424</v>
      </c>
      <c r="H5">
        <v>139.16236877441406</v>
      </c>
    </row>
    <row r="6" spans="2:8" hidden="1" x14ac:dyDescent="0.3">
      <c r="B6" t="s">
        <v>233</v>
      </c>
      <c r="C6" t="s">
        <v>236</v>
      </c>
      <c r="D6">
        <v>142.68760530153909</v>
      </c>
      <c r="E6" s="4">
        <v>176.08900475502014</v>
      </c>
      <c r="F6">
        <v>205.80179603894553</v>
      </c>
      <c r="G6">
        <v>186.46662529309592</v>
      </c>
      <c r="H6" s="3">
        <v>141.41739320755005</v>
      </c>
    </row>
    <row r="7" spans="2:8" x14ac:dyDescent="0.3">
      <c r="B7" t="s">
        <v>237</v>
      </c>
      <c r="C7" t="s">
        <v>238</v>
      </c>
      <c r="D7">
        <v>109.06736858685811</v>
      </c>
      <c r="E7">
        <v>110.75513259569804</v>
      </c>
      <c r="F7">
        <v>146.14938203493753</v>
      </c>
      <c r="G7" s="3">
        <v>72.819236914316818</v>
      </c>
      <c r="H7">
        <v>103.00351492563884</v>
      </c>
    </row>
    <row r="8" spans="2:8" hidden="1" x14ac:dyDescent="0.3">
      <c r="B8" t="s">
        <v>237</v>
      </c>
      <c r="C8" t="s">
        <v>239</v>
      </c>
      <c r="D8">
        <v>148.3595195611318</v>
      </c>
      <c r="E8">
        <v>150.6029289563497</v>
      </c>
      <c r="F8" s="3">
        <v>107.86858606338501</v>
      </c>
      <c r="G8">
        <v>109.24647259712219</v>
      </c>
      <c r="H8">
        <v>104.8472551504771</v>
      </c>
    </row>
    <row r="9" spans="2:8" hidden="1" x14ac:dyDescent="0.3">
      <c r="B9" t="s">
        <v>237</v>
      </c>
      <c r="C9" t="s">
        <v>240</v>
      </c>
      <c r="D9">
        <v>192.6276938120524</v>
      </c>
      <c r="E9">
        <v>141.79750029246011</v>
      </c>
      <c r="F9">
        <v>137.35931777954102</v>
      </c>
      <c r="G9" s="3">
        <v>124.58238204320271</v>
      </c>
      <c r="H9">
        <v>175.20592737197876</v>
      </c>
    </row>
    <row r="10" spans="2:8" x14ac:dyDescent="0.3">
      <c r="B10" t="s">
        <v>241</v>
      </c>
      <c r="C10" t="s">
        <v>242</v>
      </c>
      <c r="D10">
        <v>123.64067498842876</v>
      </c>
      <c r="E10">
        <v>139.10487262407938</v>
      </c>
      <c r="F10">
        <v>165.22990671793619</v>
      </c>
      <c r="G10" s="3">
        <v>111.88138008117676</v>
      </c>
      <c r="H10">
        <v>125.68763732910156</v>
      </c>
    </row>
    <row r="11" spans="2:8" ht="16.2" hidden="1" customHeight="1" x14ac:dyDescent="0.3">
      <c r="B11" t="s">
        <v>241</v>
      </c>
      <c r="C11" t="s">
        <v>243</v>
      </c>
      <c r="D11">
        <v>124.58775194485982</v>
      </c>
      <c r="E11">
        <v>155.71653143564859</v>
      </c>
      <c r="F11">
        <v>102.60637736320496</v>
      </c>
      <c r="G11" s="3">
        <v>83.689436753590897</v>
      </c>
      <c r="H11">
        <v>99.306018193562821</v>
      </c>
    </row>
    <row r="12" spans="2:8" hidden="1" x14ac:dyDescent="0.3">
      <c r="B12" t="s">
        <v>241</v>
      </c>
      <c r="C12" t="s">
        <v>244</v>
      </c>
      <c r="D12">
        <v>136.52221020062765</v>
      </c>
      <c r="E12">
        <v>125.97370767593384</v>
      </c>
      <c r="F12" s="3">
        <v>102.65325975418091</v>
      </c>
      <c r="G12">
        <v>152.3797664642334</v>
      </c>
      <c r="H12">
        <v>135.20273518562317</v>
      </c>
    </row>
    <row r="13" spans="2:8" x14ac:dyDescent="0.3">
      <c r="B13" t="s">
        <v>245</v>
      </c>
      <c r="C13" t="s">
        <v>246</v>
      </c>
      <c r="D13">
        <v>108.34987847010295</v>
      </c>
      <c r="E13">
        <v>116.6325831413269</v>
      </c>
      <c r="F13">
        <v>105.83950845400493</v>
      </c>
      <c r="G13" s="4">
        <v>97.611652851104736</v>
      </c>
      <c r="H13" s="3">
        <v>75.034721533457443</v>
      </c>
    </row>
    <row r="14" spans="2:8" hidden="1" x14ac:dyDescent="0.3">
      <c r="B14" t="s">
        <v>245</v>
      </c>
      <c r="C14" t="s">
        <v>247</v>
      </c>
      <c r="D14">
        <v>136.25209267934164</v>
      </c>
      <c r="E14">
        <v>128.63457759221396</v>
      </c>
      <c r="F14">
        <v>127.68064959843953</v>
      </c>
      <c r="G14" s="3">
        <v>98.799193461736039</v>
      </c>
      <c r="H14">
        <v>102.55405934651692</v>
      </c>
    </row>
    <row r="15" spans="2:8" hidden="1" x14ac:dyDescent="0.3">
      <c r="B15" t="s">
        <v>245</v>
      </c>
      <c r="C15" t="s">
        <v>248</v>
      </c>
      <c r="D15">
        <v>114.79565143585205</v>
      </c>
      <c r="E15">
        <v>129.34375564257303</v>
      </c>
      <c r="F15">
        <v>119.43395185470581</v>
      </c>
      <c r="G15" s="3">
        <v>94.844130516052246</v>
      </c>
      <c r="H15">
        <v>92.25111325581868</v>
      </c>
    </row>
    <row r="16" spans="2:8" x14ac:dyDescent="0.3">
      <c r="B16" t="s">
        <v>249</v>
      </c>
      <c r="C16" t="s">
        <v>250</v>
      </c>
      <c r="D16">
        <v>104.44126033782959</v>
      </c>
      <c r="E16">
        <v>164.226522286733</v>
      </c>
      <c r="F16">
        <v>119.16938424110413</v>
      </c>
      <c r="G16" s="3">
        <v>81.420049905776978</v>
      </c>
      <c r="H16">
        <v>90.217111746470138</v>
      </c>
    </row>
    <row r="17" spans="2:8" ht="13.8" hidden="1" customHeight="1" x14ac:dyDescent="0.3">
      <c r="B17" t="s">
        <v>249</v>
      </c>
      <c r="C17" t="s">
        <v>251</v>
      </c>
      <c r="D17">
        <v>127.62721832593282</v>
      </c>
      <c r="E17">
        <v>116.88013927141826</v>
      </c>
      <c r="F17">
        <v>114.19349932670593</v>
      </c>
      <c r="G17" s="3">
        <v>89.528362989425659</v>
      </c>
      <c r="H17">
        <v>91.044711748758957</v>
      </c>
    </row>
    <row r="18" spans="2:8" hidden="1" x14ac:dyDescent="0.3">
      <c r="B18" t="s">
        <v>249</v>
      </c>
      <c r="C18" t="s">
        <v>252</v>
      </c>
      <c r="D18">
        <v>122.29444599151611</v>
      </c>
      <c r="E18">
        <v>138.9099511305491</v>
      </c>
      <c r="F18">
        <v>121.76424511273702</v>
      </c>
      <c r="G18" s="3">
        <v>113.46165617307027</v>
      </c>
      <c r="H18">
        <v>158.966388463974</v>
      </c>
    </row>
    <row r="21" spans="2:8" x14ac:dyDescent="0.3">
      <c r="C21">
        <v>800</v>
      </c>
    </row>
    <row r="23" spans="2:8" x14ac:dyDescent="0.3">
      <c r="D23">
        <f>D16/C21*100</f>
        <v>13.055157542228699</v>
      </c>
      <c r="E23">
        <f>E16/C21*100</f>
        <v>20.528315285841625</v>
      </c>
      <c r="F23">
        <f>F16/C21*100</f>
        <v>14.896173030138016</v>
      </c>
      <c r="G23">
        <f>G16/C21*100</f>
        <v>10.177506238222122</v>
      </c>
      <c r="H23">
        <f>H16/C21*100</f>
        <v>11.277138968308767</v>
      </c>
    </row>
    <row r="24" spans="2:8" x14ac:dyDescent="0.3">
      <c r="D24">
        <f>D13/C21*100</f>
        <v>13.543734808762869</v>
      </c>
      <c r="E24">
        <f>E13/C21*100</f>
        <v>14.579072892665861</v>
      </c>
      <c r="F24">
        <f>F13/C21*100</f>
        <v>13.229938556750618</v>
      </c>
      <c r="G24">
        <f>G13/C21*100</f>
        <v>12.201456606388092</v>
      </c>
      <c r="H24">
        <f>H13/C21*100</f>
        <v>9.3793401916821804</v>
      </c>
    </row>
    <row r="25" spans="2:8" x14ac:dyDescent="0.3">
      <c r="D25">
        <f>D10/C21*100</f>
        <v>15.455084373553596</v>
      </c>
      <c r="E25">
        <f>E10/C21*100</f>
        <v>17.388109078009922</v>
      </c>
      <c r="F25">
        <f>F10/C21*100</f>
        <v>20.653738339742024</v>
      </c>
      <c r="G25">
        <f>G10/C21*100</f>
        <v>13.985172510147095</v>
      </c>
      <c r="H25">
        <f>H10/C21*100</f>
        <v>15.710954666137694</v>
      </c>
    </row>
    <row r="26" spans="2:8" x14ac:dyDescent="0.3">
      <c r="D26">
        <f>D7/C21*100</f>
        <v>13.633421073357264</v>
      </c>
      <c r="E26">
        <f>E7/C21*100</f>
        <v>13.844391574462255</v>
      </c>
      <c r="F26">
        <f>F7/C21*100</f>
        <v>18.268672754367191</v>
      </c>
      <c r="G26">
        <f>G7/C21*100</f>
        <v>9.1024046142896022</v>
      </c>
      <c r="H26">
        <f>H7/C21*100</f>
        <v>12.875439365704855</v>
      </c>
    </row>
    <row r="27" spans="2:8" x14ac:dyDescent="0.3">
      <c r="D27">
        <f>D4/C21*100</f>
        <v>21.364756464958191</v>
      </c>
      <c r="E27">
        <f>E4/C21*100</f>
        <v>18.875213921070099</v>
      </c>
      <c r="F27">
        <f>F4/C21*100</f>
        <v>18.571502129236858</v>
      </c>
      <c r="G27">
        <f>G4/C21*100</f>
        <v>11.96475887298584</v>
      </c>
      <c r="H27">
        <f>H4/C21*100</f>
        <v>14.886058549086254</v>
      </c>
    </row>
    <row r="33" spans="4:4" x14ac:dyDescent="0.3">
      <c r="D33">
        <f>(1 - G4/D4)*100</f>
        <v>43.997681917834797</v>
      </c>
    </row>
  </sheetData>
  <mergeCells count="1">
    <mergeCell ref="D2:H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7D006-3012-4D5A-B9E5-46A60334AD59}">
  <dimension ref="B4:H31"/>
  <sheetViews>
    <sheetView workbookViewId="0">
      <selection activeCell="D31" sqref="D31"/>
    </sheetView>
  </sheetViews>
  <sheetFormatPr defaultRowHeight="14.4" x14ac:dyDescent="0.3"/>
  <cols>
    <col min="2" max="2" width="12.21875" bestFit="1" customWidth="1"/>
    <col min="3" max="3" width="13.5546875" bestFit="1" customWidth="1"/>
  </cols>
  <sheetData>
    <row r="4" spans="2:8" ht="43.2" x14ac:dyDescent="0.3">
      <c r="B4" s="1" t="s">
        <v>226</v>
      </c>
      <c r="C4" s="1" t="s">
        <v>227</v>
      </c>
      <c r="D4" s="1" t="s">
        <v>228</v>
      </c>
      <c r="E4" s="2" t="s">
        <v>229</v>
      </c>
      <c r="F4" s="2" t="s">
        <v>230</v>
      </c>
      <c r="G4" s="2" t="s">
        <v>231</v>
      </c>
      <c r="H4" s="2" t="s">
        <v>232</v>
      </c>
    </row>
    <row r="5" spans="2:8" x14ac:dyDescent="0.3">
      <c r="B5" t="s">
        <v>233</v>
      </c>
      <c r="C5" t="s">
        <v>235</v>
      </c>
      <c r="D5">
        <v>148.25936102867126</v>
      </c>
      <c r="E5">
        <v>144.84410587946573</v>
      </c>
      <c r="F5">
        <v>143.17060486475626</v>
      </c>
      <c r="G5" s="3">
        <v>123.2676526705424</v>
      </c>
      <c r="H5">
        <v>139.16236877441406</v>
      </c>
    </row>
    <row r="6" spans="2:8" x14ac:dyDescent="0.3">
      <c r="B6" t="s">
        <v>237</v>
      </c>
      <c r="C6" t="s">
        <v>239</v>
      </c>
      <c r="D6">
        <v>148.3595195611318</v>
      </c>
      <c r="E6">
        <v>150.6029289563497</v>
      </c>
      <c r="F6" s="3">
        <v>107.86858606338501</v>
      </c>
      <c r="G6">
        <v>109.24647259712219</v>
      </c>
      <c r="H6">
        <v>104.8472551504771</v>
      </c>
    </row>
    <row r="7" spans="2:8" hidden="1" x14ac:dyDescent="0.3">
      <c r="B7" t="s">
        <v>237</v>
      </c>
      <c r="C7" t="s">
        <v>240</v>
      </c>
      <c r="D7">
        <v>192.6276938120524</v>
      </c>
      <c r="E7">
        <v>141.79750029246011</v>
      </c>
      <c r="F7">
        <v>137.35931777954102</v>
      </c>
      <c r="G7" s="3">
        <v>124.58238204320271</v>
      </c>
      <c r="H7">
        <v>175.20592737197876</v>
      </c>
    </row>
    <row r="8" spans="2:8" hidden="1" x14ac:dyDescent="0.3">
      <c r="B8" t="s">
        <v>241</v>
      </c>
      <c r="C8" t="s">
        <v>242</v>
      </c>
      <c r="D8">
        <v>123.64067498842876</v>
      </c>
      <c r="E8">
        <v>139.10487262407938</v>
      </c>
      <c r="F8">
        <v>165.22990671793619</v>
      </c>
      <c r="G8" s="3">
        <v>111.88138008117676</v>
      </c>
      <c r="H8">
        <v>125.68763732910156</v>
      </c>
    </row>
    <row r="9" spans="2:8" x14ac:dyDescent="0.3">
      <c r="B9" t="s">
        <v>241</v>
      </c>
      <c r="C9" t="s">
        <v>243</v>
      </c>
      <c r="D9">
        <v>124.58775194485982</v>
      </c>
      <c r="E9">
        <v>155.71653143564859</v>
      </c>
      <c r="F9">
        <v>102.60637736320496</v>
      </c>
      <c r="G9" s="3">
        <v>83.689436753590897</v>
      </c>
      <c r="H9">
        <v>99.306018193562821</v>
      </c>
    </row>
    <row r="10" spans="2:8" hidden="1" x14ac:dyDescent="0.3">
      <c r="B10" t="s">
        <v>241</v>
      </c>
      <c r="C10" t="s">
        <v>244</v>
      </c>
      <c r="D10">
        <v>136.52221020062765</v>
      </c>
      <c r="E10">
        <v>125.97370767593384</v>
      </c>
      <c r="F10" s="3">
        <v>102.65325975418091</v>
      </c>
      <c r="G10">
        <v>152.3797664642334</v>
      </c>
      <c r="H10">
        <v>135.20273518562317</v>
      </c>
    </row>
    <row r="11" spans="2:8" hidden="1" x14ac:dyDescent="0.3">
      <c r="B11" t="s">
        <v>245</v>
      </c>
      <c r="C11" t="s">
        <v>246</v>
      </c>
      <c r="D11">
        <v>108.34987847010295</v>
      </c>
      <c r="E11">
        <v>116.6325831413269</v>
      </c>
      <c r="F11">
        <v>105.83950845400493</v>
      </c>
      <c r="G11" s="4">
        <v>97.611652851104736</v>
      </c>
      <c r="H11" s="3">
        <v>75.034721533457443</v>
      </c>
    </row>
    <row r="12" spans="2:8" x14ac:dyDescent="0.3">
      <c r="B12" t="s">
        <v>245</v>
      </c>
      <c r="C12" t="s">
        <v>247</v>
      </c>
      <c r="D12">
        <v>136.25209267934164</v>
      </c>
      <c r="E12">
        <v>128.63457759221396</v>
      </c>
      <c r="F12">
        <v>127.68064959843953</v>
      </c>
      <c r="G12" s="3">
        <v>98.799193461736039</v>
      </c>
      <c r="H12">
        <v>102.55405934651692</v>
      </c>
    </row>
    <row r="13" spans="2:8" hidden="1" x14ac:dyDescent="0.3">
      <c r="B13" t="s">
        <v>245</v>
      </c>
      <c r="C13" t="s">
        <v>248</v>
      </c>
      <c r="D13">
        <v>114.79565143585205</v>
      </c>
      <c r="E13">
        <v>129.34375564257303</v>
      </c>
      <c r="F13">
        <v>119.43395185470581</v>
      </c>
      <c r="G13" s="3">
        <v>94.844130516052246</v>
      </c>
      <c r="H13">
        <v>92.25111325581868</v>
      </c>
    </row>
    <row r="14" spans="2:8" hidden="1" x14ac:dyDescent="0.3">
      <c r="B14" t="s">
        <v>249</v>
      </c>
      <c r="C14" t="s">
        <v>250</v>
      </c>
      <c r="D14">
        <v>104.44126033782959</v>
      </c>
      <c r="E14">
        <v>164.226522286733</v>
      </c>
      <c r="F14">
        <v>119.16938424110413</v>
      </c>
      <c r="G14" s="3">
        <v>81.420049905776978</v>
      </c>
      <c r="H14">
        <v>90.217111746470138</v>
      </c>
    </row>
    <row r="15" spans="2:8" x14ac:dyDescent="0.3">
      <c r="B15" t="s">
        <v>249</v>
      </c>
      <c r="C15" t="s">
        <v>251</v>
      </c>
      <c r="D15">
        <v>127.62721832593282</v>
      </c>
      <c r="E15">
        <v>116.88013927141826</v>
      </c>
      <c r="F15">
        <v>114.19349932670593</v>
      </c>
      <c r="G15" s="3">
        <v>89.528362989425659</v>
      </c>
      <c r="H15">
        <v>91.044711748758957</v>
      </c>
    </row>
    <row r="16" spans="2:8" hidden="1" x14ac:dyDescent="0.3">
      <c r="B16" t="s">
        <v>249</v>
      </c>
      <c r="C16" t="s">
        <v>252</v>
      </c>
      <c r="D16">
        <v>122.29444599151611</v>
      </c>
      <c r="E16">
        <v>138.9099511305491</v>
      </c>
      <c r="F16">
        <v>121.76424511273702</v>
      </c>
      <c r="G16" s="3">
        <v>113.46165617307027</v>
      </c>
      <c r="H16">
        <v>158.966388463974</v>
      </c>
    </row>
    <row r="21" spans="3:8" x14ac:dyDescent="0.3">
      <c r="C21">
        <v>800</v>
      </c>
    </row>
    <row r="23" spans="3:8" x14ac:dyDescent="0.3">
      <c r="D23">
        <f>D15/C21*100</f>
        <v>15.953402290741604</v>
      </c>
      <c r="E23">
        <f>E15/C21*100</f>
        <v>14.610017408927281</v>
      </c>
      <c r="F23">
        <f>F15/C21*100</f>
        <v>14.274187415838242</v>
      </c>
      <c r="G23">
        <f>G15/C21*100</f>
        <v>11.191045373678207</v>
      </c>
      <c r="H23">
        <f>H15/C21*100</f>
        <v>11.38058896859487</v>
      </c>
    </row>
    <row r="24" spans="3:8" x14ac:dyDescent="0.3">
      <c r="D24">
        <f>D12/C21*100</f>
        <v>17.031511584917705</v>
      </c>
      <c r="E24">
        <f>E12/C21*100</f>
        <v>16.079322199026745</v>
      </c>
      <c r="F24">
        <f>F12/C21*100</f>
        <v>15.960081199804939</v>
      </c>
      <c r="G24">
        <f>G12/C21*100</f>
        <v>12.349899182717005</v>
      </c>
      <c r="H24">
        <f>H12/C21*100</f>
        <v>12.819257418314614</v>
      </c>
    </row>
    <row r="25" spans="3:8" x14ac:dyDescent="0.3">
      <c r="D25">
        <f>D9/C21*100</f>
        <v>15.573468993107479</v>
      </c>
      <c r="E25">
        <f>E9/C21*100</f>
        <v>19.464566429456074</v>
      </c>
      <c r="F25">
        <f>F9/C21*100</f>
        <v>12.825797170400618</v>
      </c>
      <c r="G25">
        <f>G9/C21*100</f>
        <v>10.461179594198862</v>
      </c>
      <c r="H25">
        <f>H9/C21*100</f>
        <v>12.413252274195353</v>
      </c>
    </row>
    <row r="26" spans="3:8" x14ac:dyDescent="0.3">
      <c r="D26">
        <f>D6/C21*100</f>
        <v>18.544939945141476</v>
      </c>
      <c r="E26">
        <f>E6/C21*100</f>
        <v>18.825366119543713</v>
      </c>
      <c r="F26">
        <f>F6/C21*100</f>
        <v>13.483573257923126</v>
      </c>
      <c r="G26">
        <f>G6/C21*100</f>
        <v>13.655809074640274</v>
      </c>
      <c r="H26">
        <f>H6/C21*100</f>
        <v>13.105906893809639</v>
      </c>
    </row>
    <row r="27" spans="3:8" x14ac:dyDescent="0.3">
      <c r="D27">
        <f>D5/C21*100</f>
        <v>18.532420128583908</v>
      </c>
      <c r="E27">
        <f>E5/C21*100</f>
        <v>18.105513234933216</v>
      </c>
      <c r="F27">
        <f>F5/C21*100</f>
        <v>17.896325608094532</v>
      </c>
      <c r="G27">
        <f>G5/C21*100</f>
        <v>15.4084565838178</v>
      </c>
      <c r="H27">
        <f>H5/C21*100</f>
        <v>17.395296096801758</v>
      </c>
    </row>
    <row r="31" spans="3:8" x14ac:dyDescent="0.3">
      <c r="D31">
        <f>(1 - H6/D6)*100</f>
        <v>29.328933215320507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B8D24-D9EC-488A-8833-67A7947185BA}">
  <dimension ref="B4:H19"/>
  <sheetViews>
    <sheetView zoomScale="85" zoomScaleNormal="85" workbookViewId="0">
      <selection activeCell="C14" sqref="C14"/>
    </sheetView>
  </sheetViews>
  <sheetFormatPr defaultRowHeight="14.4" x14ac:dyDescent="0.3"/>
  <sheetData>
    <row r="4" spans="2:8" ht="43.2" x14ac:dyDescent="0.3">
      <c r="B4" s="1" t="s">
        <v>226</v>
      </c>
      <c r="C4" s="1" t="s">
        <v>227</v>
      </c>
      <c r="D4" s="1" t="s">
        <v>228</v>
      </c>
      <c r="E4" s="2" t="s">
        <v>229</v>
      </c>
      <c r="F4" s="2" t="s">
        <v>230</v>
      </c>
      <c r="G4" s="2" t="s">
        <v>231</v>
      </c>
      <c r="H4" s="2" t="s">
        <v>232</v>
      </c>
    </row>
    <row r="5" spans="2:8" x14ac:dyDescent="0.3">
      <c r="B5" t="s">
        <v>233</v>
      </c>
      <c r="C5" t="s">
        <v>236</v>
      </c>
      <c r="D5">
        <v>142.68760530153909</v>
      </c>
      <c r="E5" s="4">
        <v>176.08900475502014</v>
      </c>
      <c r="F5">
        <v>205.80179603894553</v>
      </c>
      <c r="G5">
        <v>186.46662529309592</v>
      </c>
      <c r="H5" s="3">
        <v>141.41739320755005</v>
      </c>
    </row>
    <row r="6" spans="2:8" x14ac:dyDescent="0.3">
      <c r="B6" t="s">
        <v>237</v>
      </c>
      <c r="C6" t="s">
        <v>240</v>
      </c>
      <c r="D6">
        <v>192.6276938120524</v>
      </c>
      <c r="E6">
        <v>141.79750029246011</v>
      </c>
      <c r="F6">
        <v>137.35931777954102</v>
      </c>
      <c r="G6" s="3">
        <v>124.58238204320271</v>
      </c>
      <c r="H6">
        <v>175.20592737197876</v>
      </c>
    </row>
    <row r="7" spans="2:8" x14ac:dyDescent="0.3">
      <c r="B7" t="s">
        <v>241</v>
      </c>
      <c r="C7" t="s">
        <v>244</v>
      </c>
      <c r="D7">
        <v>136.52221020062765</v>
      </c>
      <c r="E7">
        <v>125.97370767593384</v>
      </c>
      <c r="F7" s="3">
        <v>102.65325975418091</v>
      </c>
      <c r="G7">
        <v>152.3797664642334</v>
      </c>
      <c r="H7">
        <v>135.20273518562317</v>
      </c>
    </row>
    <row r="8" spans="2:8" x14ac:dyDescent="0.3">
      <c r="B8" t="s">
        <v>245</v>
      </c>
      <c r="C8" t="s">
        <v>248</v>
      </c>
      <c r="D8">
        <v>114.79565143585205</v>
      </c>
      <c r="E8">
        <v>129.34375564257303</v>
      </c>
      <c r="F8">
        <v>119.43395185470581</v>
      </c>
      <c r="G8" s="4">
        <v>94.844130516052246</v>
      </c>
      <c r="H8" s="3">
        <v>92.25111325581868</v>
      </c>
    </row>
    <row r="9" spans="2:8" x14ac:dyDescent="0.3">
      <c r="B9" t="s">
        <v>249</v>
      </c>
      <c r="C9" t="s">
        <v>252</v>
      </c>
      <c r="D9">
        <v>122.29444599151611</v>
      </c>
      <c r="E9">
        <v>138.9099511305491</v>
      </c>
      <c r="F9">
        <v>121.76424511273702</v>
      </c>
      <c r="G9" s="3">
        <v>113.46165617307027</v>
      </c>
      <c r="H9">
        <v>158.966388463974</v>
      </c>
    </row>
    <row r="13" spans="2:8" x14ac:dyDescent="0.3">
      <c r="C13">
        <v>1000</v>
      </c>
    </row>
    <row r="15" spans="2:8" x14ac:dyDescent="0.3">
      <c r="D15">
        <f>D9/C13*100</f>
        <v>12.229444599151611</v>
      </c>
      <c r="E15">
        <f>E9/C13*100</f>
        <v>13.89099511305491</v>
      </c>
      <c r="F15">
        <f>F9/C13*100</f>
        <v>12.176424511273702</v>
      </c>
      <c r="G15">
        <f>G9/C13*100</f>
        <v>11.346165617307026</v>
      </c>
      <c r="H15">
        <f>H9/C13*100</f>
        <v>15.896638846397401</v>
      </c>
    </row>
    <row r="16" spans="2:8" x14ac:dyDescent="0.3">
      <c r="D16">
        <f>D8/C13*100</f>
        <v>11.479565143585205</v>
      </c>
      <c r="E16">
        <f>E8/C13*100</f>
        <v>12.934375564257303</v>
      </c>
      <c r="F16">
        <f>F8/C13*100</f>
        <v>11.943395185470582</v>
      </c>
      <c r="G16">
        <f>G8/C13*100</f>
        <v>9.484413051605225</v>
      </c>
      <c r="H16">
        <f>H8/C13*100</f>
        <v>9.2251113255818673</v>
      </c>
    </row>
    <row r="17" spans="4:8" x14ac:dyDescent="0.3">
      <c r="D17">
        <f>D7/C13*100</f>
        <v>13.652221020062766</v>
      </c>
      <c r="E17">
        <f>E7/C13*100</f>
        <v>12.597370767593382</v>
      </c>
      <c r="F17">
        <f>F7/C13*100</f>
        <v>10.26532597541809</v>
      </c>
      <c r="G17">
        <f>G7/C13*100</f>
        <v>15.237976646423339</v>
      </c>
      <c r="H17">
        <f>H7/C13*100</f>
        <v>13.520273518562318</v>
      </c>
    </row>
    <row r="18" spans="4:8" x14ac:dyDescent="0.3">
      <c r="D18">
        <f>D6/C13*100</f>
        <v>19.262769381205239</v>
      </c>
      <c r="E18">
        <f>E6/C13*100</f>
        <v>14.17975002924601</v>
      </c>
      <c r="F18">
        <f>F6/C13*100</f>
        <v>13.735931777954102</v>
      </c>
      <c r="G18">
        <f>G6/C13*100</f>
        <v>12.458238204320271</v>
      </c>
      <c r="H18">
        <f>H6/C13*100</f>
        <v>17.520592737197877</v>
      </c>
    </row>
    <row r="19" spans="4:8" x14ac:dyDescent="0.3">
      <c r="D19">
        <f>D5/C13*100</f>
        <v>14.268760530153909</v>
      </c>
      <c r="E19">
        <f>E5/C13*100</f>
        <v>17.608900475502015</v>
      </c>
      <c r="F19">
        <f>F5/C13*100</f>
        <v>20.580179603894553</v>
      </c>
      <c r="G19">
        <f>G5/C13*100</f>
        <v>18.646662529309591</v>
      </c>
      <c r="H19">
        <f>H5/C13*100</f>
        <v>14.141739320755004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resultFD</vt:lpstr>
      <vt:lpstr>Summary</vt:lpstr>
      <vt:lpstr>Summary AVG</vt:lpstr>
      <vt:lpstr>Summary-0</vt:lpstr>
      <vt:lpstr>Summary-1</vt:lpstr>
      <vt:lpstr>Summary-2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Vidal Silva</dc:creator>
  <cp:lastModifiedBy>Cristian Vidal Silva</cp:lastModifiedBy>
  <dcterms:created xsi:type="dcterms:W3CDTF">2021-11-01T15:36:28Z</dcterms:created>
  <dcterms:modified xsi:type="dcterms:W3CDTF">2021-11-08T03:32:28Z</dcterms:modified>
</cp:coreProperties>
</file>